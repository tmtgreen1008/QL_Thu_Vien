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Test case" sheetId="2" state="visible" r:id="rId4"/>
    <sheet name="Tổng hợp" sheetId="3" state="visible" r:id="rId5"/>
  </sheets>
  <definedNames>
    <definedName function="false" hidden="false" localSheetId="1" name="_xlnm.Print_Titles" vbProcedure="false">'Test case'!$4:$4</definedName>
    <definedName function="false" hidden="true" localSheetId="1" name="_xlnm._FilterDatabase" vbProcedure="false">'Test case'!$A$4:$K$119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<sst xmlns="http://schemas.openxmlformats.org/spreadsheetml/2006/main" count="1232" uniqueCount="763">
  <si>
    <t xml:space="preserve">DANH MỤC TEST CASE - HỆ THỐNG QUẢN LÝ THƯ VIỆN</t>
  </si>
  <si>
    <t xml:space="preserve">Cách dùng</t>
  </si>
  <si>
    <t xml:space="preserve">Mở sheet "Test case", chạy từng dòng theo cột "Các bước thực hiện" và so với "Kết quả dự kiến". Sau đó điền các cột nền vàng (đúng các thành phần thầy yêu cầu: đầu ra thực tế, kết quả pass/fail, đề xuất và mô tả quá trình fix lỗi). Sheet "Tổng hợp" tự tính số lượng Pass/Fail theo nhóm, không cần sửa.</t>
  </si>
  <si>
    <t xml:space="preserve">Ô cần điền (nền vàng)</t>
  </si>
  <si>
    <t xml:space="preserve">Cột G "Đầu ra thực tế", cột H "Kết quả test (Pass/Fail)" (chọn trong danh sách), cột I "Đề xuất và mô tả quá trình fix lỗi", cột J "Ghi chú / tên file ảnh". Các cột còn lại là nội dung test đã soạn sẵn (mục tiêu, dữ liệu đầu vào và ràng buộc, đầu ra dự kiến).</t>
  </si>
  <si>
    <t xml:space="preserve">Thứ tự nên chạy</t>
  </si>
  <si>
    <t xml:space="preserve">Chạy các dòng ưu tiên "Cao" trước (cột K, lọc bằng bộ lọc ở dòng tiêu đề). Dòng Fail: ghi lỗi, sửa code, chạy lại và cập nhật kết quả. Báo cáo cần mô tả quá trình sửa lỗi.</t>
  </si>
  <si>
    <t xml:space="preserve">Ví dụ cách điền một dòng</t>
  </si>
  <si>
    <t xml:space="preserve">Mã TC / Mục tiêu</t>
  </si>
  <si>
    <t xml:space="preserve">DN-03 / Sai mật khẩu</t>
  </si>
  <si>
    <t xml:space="preserve">Đầu ra thực tế (G)</t>
  </si>
  <si>
    <t xml:space="preserve">Hiện thông báo "Email hoặc mật khẩu không đúng", vẫn ở trang đăng nhập.</t>
  </si>
  <si>
    <t xml:space="preserve">Kết quả test (H)</t>
  </si>
  <si>
    <t xml:space="preserve">Pass</t>
  </si>
  <si>
    <t xml:space="preserve">Đề xuất, mô tả fix lỗi (I)</t>
  </si>
  <si>
    <t xml:space="preserve">Không có. (Nếu Fail: "Thông báo hiện bằng tiếng Anh. Sửa: thêm khóa login.err.invalid vào Resources/SharedResource.resx. Chạy lại: Pass.")</t>
  </si>
  <si>
    <t xml:space="preserve">Ghi chú / ảnh (J)</t>
  </si>
  <si>
    <t xml:space="preserve">dn-03.png (ảnh chụp màn hình dán vào báo cáo mục 4.4)</t>
  </si>
  <si>
    <t xml:space="preserve">Dữ liệu mẫu và điều kiện chung</t>
  </si>
  <si>
    <t xml:space="preserve">Tài khoản Admin</t>
  </si>
  <si>
    <t xml:space="preserve">admin@library.local / Admin@123</t>
  </si>
  <si>
    <t xml:space="preserve">Tài khoản khách mẫu</t>
  </si>
  <si>
    <t xml:space="preserve">khach@library.local / Khach@123 (hồ sơ TV000001, SĐT 0901234567, thẻ "Thường - 1 tháng": 3 sách, 14 ngày, gia hạn 1 lần, cọc 100.000 đ)</t>
  </si>
  <si>
    <t xml:space="preserve">Gói thẻ mẫu</t>
  </si>
  <si>
    <t xml:space="preserve">Thường - 1 tháng (50.000 đ, cọc 100.000 đ); Thường - 6 tháng (250.000 đ); VIP - 1 năm (400.000 đ, cọc 200.000 đ, 8 sách, 30 ngày, gia hạn 2 lần)</t>
  </si>
  <si>
    <t xml:space="preserve">Sách mẫu</t>
  </si>
  <si>
    <t xml:space="preserve">21 đầu sách, 51 bản sao. Mã vạch BC{số sách 4 số}{số bản 2 số}, ví dụ BC000101 (Cho tôi xin một vé đi tuổi thơ: thuê 5.000 đ, giá đền 80.000 đ), BC000201 (Mắt biếc), BC001602 (Clean Code, bản chỉ đọc tại chỗ).</t>
  </si>
  <si>
    <t xml:space="preserve">Mức phạt trả trễ</t>
  </si>
  <si>
    <t xml:space="preserve">2.000 đ/cuốn/ngày, tối đa bằng giá đền của sách (cấu hình Library:LateFeePerDay trong appsettings.json).</t>
  </si>
  <si>
    <t xml:space="preserve">Trạng thái ban đầu</t>
  </si>
  <si>
    <t xml:space="preserve">Nên chạy trên database mới seed. Nhiều test thay đổi dữ liệu nên chạy theo thứ tự trong từng nhóm; khi cần có thể tạo lại khách mới.</t>
  </si>
  <si>
    <t xml:space="preserve">Lệnh SQL hay dùng</t>
  </si>
  <si>
    <t xml:space="preserve">Xem dòng mượn chưa trả</t>
  </si>
  <si>
    <t xml:space="preserve">SELECT i.Id, c.Barcode, i.DueDate, i.RenewCount FROM LoanItems i JOIN BookCopies c ON c.Id = i.BookCopyId WHERE i.ReturnedAt IS NULL;</t>
  </si>
  <si>
    <t xml:space="preserve">Làm sách quá hạn 5 ngày</t>
  </si>
  <si>
    <t xml:space="preserve">UPDATE LoanItems SET DueDate = DATEADD(day, -5, CAST(GETDATE() AS date)) WHERE Id = &lt;Id dòng mượn&gt;;</t>
  </si>
  <si>
    <t xml:space="preserve">Mở khóa tài khoản</t>
  </si>
  <si>
    <t xml:space="preserve">UPDATE AspNetUsers SET LockoutEnd = NULL, AccessFailedCount = 0 WHERE Email = 'khach@library.local';</t>
  </si>
  <si>
    <t xml:space="preserve">Vô hiệu hóa / bật lại</t>
  </si>
  <si>
    <t xml:space="preserve">UPDATE AspNetUsers SET IsActive = 0 WHERE Email = 'khach@library.local';   (bật lại: IsActive = 1)</t>
  </si>
  <si>
    <t xml:space="preserve">Thẻ sắp hết hạn</t>
  </si>
  <si>
    <t xml:space="preserve">UPDATE Memberships SET EndDate = DATEADD(day, 5, CAST(GETDATE() AS date)) WHERE Id = &lt;Id thẻ&gt;;</t>
  </si>
  <si>
    <t xml:space="preserve">Kiểm tra mượn trùng bản</t>
  </si>
  <si>
    <t xml:space="preserve">SELECT BookCopyId, COUNT(*) FROM LoanItems WHERE ReturnedAt IS NULL GROUP BY BookCopyId HAVING COUNT(*) &gt; 1;   (phải ra 0 dòng)</t>
  </si>
  <si>
    <t xml:space="preserve">DANH MỤC TEST CASE</t>
  </si>
  <si>
    <t xml:space="preserve">Nền vàng = ô bạn điền sau khi chạy test. Chọn Pass/Fail ở cột H (Kết quả test). Xem sheet "Hướng dẫn" để biết dữ liệu mẫu và lệnh SQL.</t>
  </si>
  <si>
    <t xml:space="preserve">Mã TC</t>
  </si>
  <si>
    <t xml:space="preserve">Nhóm chức năng</t>
  </si>
  <si>
    <t xml:space="preserve">Mục tiêu test</t>
  </si>
  <si>
    <t xml:space="preserve">Các bước thực hiện</t>
  </si>
  <si>
    <t xml:space="preserve">Dữ liệu đầu vào, các ràng buộc</t>
  </si>
  <si>
    <t xml:space="preserve">Đầu ra dự kiến</t>
  </si>
  <si>
    <t xml:space="preserve">Đầu ra thực tế</t>
  </si>
  <si>
    <t xml:space="preserve">Kết quả test (Pass/Fail)</t>
  </si>
  <si>
    <t xml:space="preserve">Đề xuất và mô tả quá trình fix lỗi</t>
  </si>
  <si>
    <t xml:space="preserve">Ghi chú / ảnh</t>
  </si>
  <si>
    <t xml:space="preserve">Ưu tiên</t>
  </si>
  <si>
    <t xml:space="preserve">DN-01</t>
  </si>
  <si>
    <t xml:space="preserve">Đăng nhập, đăng ký, phân quyền</t>
  </si>
  <si>
    <t xml:space="preserve">Đăng nhập Admin hợp lệ</t>
  </si>
  <si>
    <t xml:space="preserve">1. Mở /Identity/Account/Login
2. Nhập email, mật khẩu
3. Bấm Đăng nhập</t>
  </si>
  <si>
    <t xml:space="preserve">Chuyển tới /Admin, thấy Bảng điều khiển.</t>
  </si>
  <si>
    <t xml:space="preserve">Đăng nhập thành công, chuyển tới /Admin, thấy Bảng điều khiển.</t>
  </si>
  <si>
    <t xml:space="preserve">Mình chạy 19/10/2026 trên localhost:7105</t>
  </si>
  <si>
    <t xml:space="preserve">Cao</t>
  </si>
  <si>
    <t xml:space="preserve">DN-02</t>
  </si>
  <si>
    <t xml:space="preserve">Đăng nhập khách hàng hợp lệ</t>
  </si>
  <si>
    <t xml:space="preserve">Như DN-01 với tài khoản khách</t>
  </si>
  <si>
    <t xml:space="preserve">khach@library.local / Khach@123</t>
  </si>
  <si>
    <t xml:space="preserve">Chuyển tới /My (Tài khoản của tôi).</t>
  </si>
  <si>
    <t xml:space="preserve">Đăng nhập thành công, chuyển tới /My (Tổng quan tài khoản).</t>
  </si>
  <si>
    <t xml:space="preserve">DN-03</t>
  </si>
  <si>
    <t xml:space="preserve">Sai mật khẩu</t>
  </si>
  <si>
    <t xml:space="preserve">Đăng nhập admin với mật khẩu sai</t>
  </si>
  <si>
    <t xml:space="preserve">admin@library.local / Sai@123</t>
  </si>
  <si>
    <t xml:space="preserve">Báo "Email hoặc mật khẩu không đúng", không đăng nhập.</t>
  </si>
  <si>
    <t xml:space="preserve">Ở lại trang đăng nhập, báo 'Email hoặc mật khẩu không đúng.'</t>
  </si>
  <si>
    <t xml:space="preserve">DN-04</t>
  </si>
  <si>
    <t xml:space="preserve">Email chưa đăng ký không bị lộ</t>
  </si>
  <si>
    <t xml:space="preserve">Đăng nhập với email không tồn tại</t>
  </si>
  <si>
    <t xml:space="preserve">khong.co@library.local / Abc@1234</t>
  </si>
  <si>
    <t xml:space="preserve">Cùng thông báo chung như DN-03 (không cho biết email có tồn tại hay không).</t>
  </si>
  <si>
    <t xml:space="preserve">Thông báo giống hệt DN-03, không lộ email nào đã đăng ký.</t>
  </si>
  <si>
    <t xml:space="preserve">Trung bình</t>
  </si>
  <si>
    <t xml:space="preserve">DN-05</t>
  </si>
  <si>
    <t xml:space="preserve">Khóa tài khoản khi sai mật khẩu nhiều lần</t>
  </si>
  <si>
    <t xml:space="preserve">1. Đăng nhập khach@ với mật khẩu sai 5 lần liên tiếp
2. Nhập lại đúng mật khẩu
3. Kiểm tra SQL: SELECT Email, AccessFailedCount, LockoutEnd FROM AspNetUsers</t>
  </si>
  <si>
    <t xml:space="preserve">Ràng buộc: tối đa 5 lần sai, khóa 5 phút</t>
  </si>
  <si>
    <t xml:space="preserve">Từ lần sai thứ 5 báo "khóa tạm thời ... 5 phút". Nhập đúng vẫn bị từ chối. LockoutEnd có giá trị. Sau khi test chạy: UPDATE AspNetUsers SET LockoutEnd=NULL, AccessFailedCount=0 WHERE Email='khach@library.local'.</t>
  </si>
  <si>
    <t xml:space="preserve">Lần sai thứ 5 báo 'Tài khoản bị khóa tạm thời... thử lại sau 5 phút'; đăng nhập đúng mật khẩu sau đó vẫn bị từ chối.</t>
  </si>
  <si>
    <t xml:space="preserve">DN-06</t>
  </si>
  <si>
    <t xml:space="preserve">Tài khoản bị vô hiệu hóa không đăng nhập được</t>
  </si>
  <si>
    <t xml:space="preserve">1. UPDATE AspNetUsers SET IsActive=0 WHERE Email='khach@library.local'
2. Đăng nhập đúng mật khẩu
3. Trả lại IsActive=1</t>
  </si>
  <si>
    <t xml:space="preserve">Báo tài khoản đã bị vô hiệu hóa, không vào được.</t>
  </si>
  <si>
    <t xml:space="preserve">Sau khi đặt IsActive = 0, đăng nhập báo 'Tài khoản đã bị vô hiệu hóa. Vui lòng liên hệ thư viện.'</t>
  </si>
  <si>
    <t xml:space="preserve">Cần chạy UPDATE AspNetUsers SET IsActive = 1 để bật lại tài khoản khách mẫu</t>
  </si>
  <si>
    <t xml:space="preserve">DN-07</t>
  </si>
  <si>
    <t xml:space="preserve">Chưa đăng nhập vào khu Admin</t>
  </si>
  <si>
    <t xml:space="preserve">Mở /Admin khi chưa đăng nhập</t>
  </si>
  <si>
    <t xml:space="preserve">-</t>
  </si>
  <si>
    <t xml:space="preserve">Chuyển sang trang đăng nhập (có returnUrl).</t>
  </si>
  <si>
    <t xml:space="preserve">/Admin chuyển về /Identity/Account/Login kèm ReturnUrl.</t>
  </si>
  <si>
    <t xml:space="preserve">DN-08</t>
  </si>
  <si>
    <t xml:space="preserve">Chưa đăng nhập vào khu khách hàng</t>
  </si>
  <si>
    <t xml:space="preserve">Mở /My khi chưa đăng nhập</t>
  </si>
  <si>
    <t xml:space="preserve">Chuyển sang trang đăng nhập.</t>
  </si>
  <si>
    <t xml:space="preserve">/My chuyển về trang đăng nhập.</t>
  </si>
  <si>
    <t xml:space="preserve">DN-09</t>
  </si>
  <si>
    <t xml:space="preserve">Khách hàng không vào được khu Admin</t>
  </si>
  <si>
    <t xml:space="preserve">Đăng nhập khách, mở /Admin</t>
  </si>
  <si>
    <t xml:space="preserve">khach@library.local</t>
  </si>
  <si>
    <t xml:space="preserve">Bị từ chối truy cập (Access denied).</t>
  </si>
  <si>
    <t xml:space="preserve">Khách vào /Admin và /Admin/Books đều bị chuyển tới /Identity/Account/AccessDenied.</t>
  </si>
  <si>
    <t xml:space="preserve">Trang Access denied đang tiếng Anh, xem mục 3 trong tổng hợp lỗi.</t>
  </si>
  <si>
    <t xml:space="preserve">DN-10</t>
  </si>
  <si>
    <t xml:space="preserve">Admin không vào được khu khách hàng</t>
  </si>
  <si>
    <t xml:space="preserve">Đăng nhập admin, mở /My</t>
  </si>
  <si>
    <t xml:space="preserve">admin@library.local</t>
  </si>
  <si>
    <t xml:space="preserve">Bị từ chối truy cập.</t>
  </si>
  <si>
    <t xml:space="preserve">Admin vào /My bị chuyển tới /Identity/Account/AccessDenied.</t>
  </si>
  <si>
    <t xml:space="preserve">DN-11</t>
  </si>
  <si>
    <t xml:space="preserve">Đăng ký tài khoản mới, SĐT chưa có hồ sơ</t>
  </si>
  <si>
    <t xml:space="preserve">1. /Identity/Account/Register
2. Nhập thông tin, để trống Mã thành viên
3. Bấm Đăng ký</t>
  </si>
  <si>
    <t xml:space="preserve">Họ tên: Trần Thị B; email mới; SĐT 0912000111; mật khẩu Abc@1234 (≥ 6 ký tự)</t>
  </si>
  <si>
    <t xml:space="preserve">Tạo tài khoản role User, tự tạo hồ sơ khách (mã TV mới), tự đăng nhập, vào /My (chưa có thẻ hiệu lực).</t>
  </si>
  <si>
    <t xml:space="preserve">Tạo tài khoản và hồ sơ mới tự động, chuyển tới /My, hiện 'Chưa có thẻ hiệu lực'.</t>
  </si>
  <si>
    <t xml:space="preserve">DN-12</t>
  </si>
  <si>
    <t xml:space="preserve">Chặn chiếm hồ sơ bằng SĐT</t>
  </si>
  <si>
    <t xml:space="preserve">Đăng ký với SĐT của hồ sơ đã có, không nhập mã</t>
  </si>
  <si>
    <t xml:space="preserve">SĐT 0901234567 (khách mẫu)</t>
  </si>
  <si>
    <t xml:space="preserve">Từ chối, báo SĐT đã có hồ sơ và hướng dẫn nhập mã thành viên.</t>
  </si>
  <si>
    <t xml:space="preserve">Từ chối: 'Số điện thoại này đã có hồ sơ tại thư viện. Hãy nhập mã thành viên... để liên kết'.</t>
  </si>
  <si>
    <t xml:space="preserve">DN-13</t>
  </si>
  <si>
    <t xml:space="preserve">Liên kết hồ sơ tạo tại quầy (mã + SĐT khớp)</t>
  </si>
  <si>
    <t xml:space="preserve">1. Admin tạo khách SĐT 0912000222, ghi mã TV
2. Đăng ký tài khoản bằng đúng mã và SĐT đó</t>
  </si>
  <si>
    <t xml:space="preserve">Mã TV vừa tạo + SĐT 0912000222</t>
  </si>
  <si>
    <t xml:space="preserve">Đăng ký thành công, hồ sơ được liên kết (Admin thấy "Tài khoản web" có email); nếu đã bán thẻ thì /My thấy thẻ.</t>
  </si>
  <si>
    <t xml:space="preserve">Liên kết thành công với hồ sơ TV000004 (Lê Văn C), chuyển tới /My.</t>
  </si>
  <si>
    <t xml:space="preserve">DN-14</t>
  </si>
  <si>
    <t xml:space="preserve">Mã đúng nhưng SĐT sai</t>
  </si>
  <si>
    <t xml:space="preserve">Đăng ký với mã TV hợp lệ và SĐT khác</t>
  </si>
  <si>
    <t xml:space="preserve">Mã TV000001 + SĐT 0999999999</t>
  </si>
  <si>
    <t xml:space="preserve">Từ chối: mã và số điện thoại không khớp.</t>
  </si>
  <si>
    <t xml:space="preserve">Từ chối: 'Mã thành viên và số điện thoại không khớp, hoặc hồ sơ này đã được liên kết...'.</t>
  </si>
  <si>
    <t xml:space="preserve">DN-15</t>
  </si>
  <si>
    <t xml:space="preserve">Không liên kết hồ sơ đã có tài khoản</t>
  </si>
  <si>
    <t xml:space="preserve">Đăng ký với mã và SĐT của hồ sơ đã liên kết</t>
  </si>
  <si>
    <t xml:space="preserve">TV000001 + 0901234567</t>
  </si>
  <si>
    <t xml:space="preserve">Từ chối: hồ sơ đã được liên kết với tài khoản khác.</t>
  </si>
  <si>
    <t xml:space="preserve">Từ chối với cùng thông báo chung, không tiết lộ lý do chi tiết.</t>
  </si>
  <si>
    <t xml:space="preserve">DN-16</t>
  </si>
  <si>
    <t xml:space="preserve">Email đăng ký trùng</t>
  </si>
  <si>
    <t xml:space="preserve">Đăng ký với email đã tồn tại</t>
  </si>
  <si>
    <t xml:space="preserve">Báo lỗi email đã được sử dụng, không tạo tài khoản.</t>
  </si>
  <si>
    <t xml:space="preserve">Bị từ chối nhưng thông báo tiếng Anh và lặp hai lần: "Username 'khach@library.local' is already taken. Email '...' is already taken."</t>
  </si>
  <si>
    <t xml:space="preserve">Fail</t>
  </si>
  <si>
    <t xml:space="preserve">Trước khi gọi CreateAsync, kiểm tra email bằng UserManager.FindByEmailAsync; nếu có thì thêm một lỗi tiếng Việt duy nhất (khóa resx mới). Hoặc viết lớp kế thừa IdentityErrorDescriber (dịch DuplicateUserName, DuplicateEmail, mật khẩu yếu) và đăng ký bằng .AddErrorDescriber&lt;...&gt;().</t>
  </si>
  <si>
    <t xml:space="preserve">DN-17</t>
  </si>
  <si>
    <t xml:space="preserve">Kiểm tra dữ liệu form đăng ký</t>
  </si>
  <si>
    <t xml:space="preserve">Bỏ trống các ô, nhập mật khẩu 3 ký tự, mật khẩu xác nhận khác</t>
  </si>
  <si>
    <t xml:space="preserve">Mật khẩu "abc", xác nhận "abd"; SĐT "123"</t>
  </si>
  <si>
    <t xml:space="preserve">Hiện lỗi từng trường: bắt buộc nhập, mật khẩu ≥ 6 ký tự, xác nhận không khớp, SĐT không hợp lệ.</t>
  </si>
  <si>
    <t xml:space="preserve">Báo 5 lỗi tiếng Việt: họ tên, email, SĐT sai định dạng, mật khẩu &lt; 6 ký tự, xác nhận không khớp.</t>
  </si>
  <si>
    <t xml:space="preserve">KS-01</t>
  </si>
  <si>
    <t xml:space="preserve">Kho sách</t>
  </si>
  <si>
    <t xml:space="preserve">Thêm tác giả hợp lệ</t>
  </si>
  <si>
    <t xml:space="preserve">Admin &gt; Tác giả &gt; Thêm tác giả &gt; nhập tên &gt; Lưu</t>
  </si>
  <si>
    <t xml:space="preserve">Tên: Tố Hữu</t>
  </si>
  <si>
    <t xml:space="preserve">Thêm thành công, hiện trong danh sách, thông báo xanh.</t>
  </si>
  <si>
    <t xml:space="preserve">Đã thêm tác giả, quay về danh sách.</t>
  </si>
  <si>
    <t xml:space="preserve">KS-02</t>
  </si>
  <si>
    <t xml:space="preserve">Tên tác giả bắt buộc</t>
  </si>
  <si>
    <t xml:space="preserve">Thêm tác giả để trống tên</t>
  </si>
  <si>
    <t xml:space="preserve">Tên: (trống)</t>
  </si>
  <si>
    <t xml:space="preserve">Báo "Vui lòng nhập tên tác giả", không lưu.</t>
  </si>
  <si>
    <t xml:space="preserve">Báo 'Vui lòng nhập tên tác giả'.</t>
  </si>
  <si>
    <t xml:space="preserve">KS-03</t>
  </si>
  <si>
    <t xml:space="preserve">Không xóa tác giả còn sách</t>
  </si>
  <si>
    <t xml:space="preserve">Xóa tác giả "Nguyễn Nhật Ánh"</t>
  </si>
  <si>
    <t xml:space="preserve">Tác giả có 3 sách</t>
  </si>
  <si>
    <t xml:space="preserve">Bị chặn, báo còn sách của tác giả này.</t>
  </si>
  <si>
    <t xml:space="preserve">Không xóa được vì tác giả còn sách.</t>
  </si>
  <si>
    <t xml:space="preserve">Bạn chạy thủ công và báo kết quả</t>
  </si>
  <si>
    <t xml:space="preserve">KS-04</t>
  </si>
  <si>
    <t xml:space="preserve">Thể loại không được trùng tên</t>
  </si>
  <si>
    <t xml:space="preserve">Thêm thể loại "Thiếu nhi"</t>
  </si>
  <si>
    <t xml:space="preserve">Tên đã tồn tại</t>
  </si>
  <si>
    <t xml:space="preserve">Báo thể loại đã tồn tại.</t>
  </si>
  <si>
    <t xml:space="preserve">Báo 'Thể loại này đã tồn tại.'</t>
  </si>
  <si>
    <t xml:space="preserve">KS-05</t>
  </si>
  <si>
    <t xml:space="preserve">Thêm đầu sách kèm bản sao, mã vạch tự sinh</t>
  </si>
  <si>
    <t xml:space="preserve">Admin &gt; Đầu sách &gt; Thêm sách; nhập đủ thông tin; Số bản sao ban đầu = 2; Lưu</t>
  </si>
  <si>
    <t xml:space="preserve">ISBN mới, chọn tác giả và thể loại</t>
  </si>
  <si>
    <t xml:space="preserve">Chuyển sang trang chi tiết, có 2 bản sao, mã vạch dạng BC{mã sách 4 số}01, 02, trạng thái Sẵn sàng.</t>
  </si>
  <si>
    <t xml:space="preserve">Thêm sách kèm 2 bản sao, mã vạch tự sinh BC002201, BC002202.</t>
  </si>
  <si>
    <t xml:space="preserve">KS-06</t>
  </si>
  <si>
    <t xml:space="preserve">ISBN không được trùng</t>
  </si>
  <si>
    <t xml:space="preserve">Thêm sách với ISBN đã có</t>
  </si>
  <si>
    <t xml:space="preserve">ISBN của sách mẫu (ví dụ 9786040000001)</t>
  </si>
  <si>
    <t xml:space="preserve">Báo ISBN đã tồn tại.</t>
  </si>
  <si>
    <t xml:space="preserve">Báo 'ISBN này đã tồn tại.'</t>
  </si>
  <si>
    <t xml:space="preserve">KS-07</t>
  </si>
  <si>
    <t xml:space="preserve">Bắt buộc chọn tác giả và thể loại</t>
  </si>
  <si>
    <t xml:space="preserve">Thêm sách, để "-- Chọn tác giả --"</t>
  </si>
  <si>
    <t xml:space="preserve">AuthorId = 0</t>
  </si>
  <si>
    <t xml:space="preserve">Báo "Vui lòng chọn tác giả" (và thể loại).</t>
  </si>
  <si>
    <t xml:space="preserve">Báo 'Vui lòng chọn tác giả' và 'Vui lòng chọn thể loại'.</t>
  </si>
  <si>
    <t xml:space="preserve">KS-08</t>
  </si>
  <si>
    <t xml:space="preserve">Từ chối ảnh bìa sai định dạng</t>
  </si>
  <si>
    <t xml:space="preserve">Chọn file .pdf làm ảnh bìa</t>
  </si>
  <si>
    <t xml:space="preserve">File .pdf</t>
  </si>
  <si>
    <t xml:space="preserve">Báo chỉ chấp nhận ảnh .jpg, .jpeg, .png, .webp.</t>
  </si>
  <si>
    <t xml:space="preserve">Báo 'Chỉ chấp nhận ảnh .jpg, .jpeg, .png hoặc .webp.'</t>
  </si>
  <si>
    <t xml:space="preserve">KS-09</t>
  </si>
  <si>
    <t xml:space="preserve">Từ chối ảnh bìa quá lớn</t>
  </si>
  <si>
    <t xml:space="preserve">Chọn ảnh &gt; 2MB</t>
  </si>
  <si>
    <t xml:space="preserve">Ảnh 3MB</t>
  </si>
  <si>
    <t xml:space="preserve">Báo ảnh bìa tối đa 2MB.</t>
  </si>
  <si>
    <t xml:space="preserve">Báo 'Ảnh bìa tối đa 2MB.'</t>
  </si>
  <si>
    <t xml:space="preserve">KS-10</t>
  </si>
  <si>
    <t xml:space="preserve">Upload ảnh bìa hợp lệ</t>
  </si>
  <si>
    <t xml:space="preserve">Chọn ảnh .jpg dưới 2MB, Lưu</t>
  </si>
  <si>
    <t xml:space="preserve">Ảnh 200KB</t>
  </si>
  <si>
    <t xml:space="preserve">Ảnh hiện ở danh sách, chi tiết (Admin) và trang công khai; file nằm trong wwwroot/covers.</t>
  </si>
  <si>
    <t xml:space="preserve">Cập nhật thành công, ảnh lưu dạng /covers/&lt;GUID&gt;.jpg và tải được (200, image/jpeg).</t>
  </si>
  <si>
    <t xml:space="preserve">Dùng ảnh JPG 41 KB làm ảnh hợp lệ</t>
  </si>
  <si>
    <t xml:space="preserve">KS-11</t>
  </si>
  <si>
    <t xml:space="preserve">Thêm bản sao, mã vạch không trùng</t>
  </si>
  <si>
    <t xml:space="preserve">Chi tiết sách &gt; Thêm bản sao &gt; số lượng 3</t>
  </si>
  <si>
    <t xml:space="preserve">Sách đã có 2 bản</t>
  </si>
  <si>
    <t xml:space="preserve">Sinh 3 mã vạch mới nối tiếp (…03, 04, 05), không trùng mã cũ.</t>
  </si>
  <si>
    <t xml:space="preserve">Thêm 2 bản BC002203, BC002204; toàn bộ mã vạch của sách không trùng nhau.</t>
  </si>
  <si>
    <t xml:space="preserve">KS-12</t>
  </si>
  <si>
    <t xml:space="preserve">Đổi bản sao sang Hỏng</t>
  </si>
  <si>
    <t xml:space="preserve">Sửa bản sao &gt; Trạng thái = Hỏng</t>
  </si>
  <si>
    <t xml:space="preserve">Bản sao đang Sẵn sàng</t>
  </si>
  <si>
    <t xml:space="preserve">Lưu thành công; số "Sẵn sàng" của sách giảm 1; công khai không tính bản này.</t>
  </si>
  <si>
    <t xml:space="preserve">Bản sao BC002204 chuyển sang Hỏng.</t>
  </si>
  <si>
    <t xml:space="preserve">KS-13</t>
  </si>
  <si>
    <t xml:space="preserve">Không đổi trạng thái bản sao đang mượn</t>
  </si>
  <si>
    <t xml:space="preserve">Sửa bản sao đang được mượn</t>
  </si>
  <si>
    <t xml:space="preserve">Bản sao Đang mượn</t>
  </si>
  <si>
    <t xml:space="preserve">Form chỉ hiện nhãn "Đang mượn", không cho đổi trạng thái.</t>
  </si>
  <si>
    <t xml:space="preserve">Giao diện khóa ô trạng thái ('Bản sao đang cho mượn, trả sách tại quầy trước khi đổi'). Khi ép gửi POST, trạng thái vẫn là Đang mượn nhưng hệ thống báo 'Đã cập nhật bản sao'.</t>
  </si>
  <si>
    <t xml:space="preserve">Trong BookCopiesController.Edit (POST): nếu bản sao có dòng mượn chưa trả và trạng thái đổi khác, trả lỗi 'Bản sao đang được mượn, hãy trả sách trước' và không hiện thông báo thành công. Mức độ thấp (dữ liệu không bị sai).</t>
  </si>
  <si>
    <t xml:space="preserve">KS-14</t>
  </si>
  <si>
    <t xml:space="preserve">Không xóa sách đã có bản sao</t>
  </si>
  <si>
    <t xml:space="preserve">Chi tiết sách có bản sao: thử xóa</t>
  </si>
  <si>
    <t xml:space="preserve">Không có nút Xóa (hoặc bị chặn); hướng dẫn bỏ "Đang kinh doanh".</t>
  </si>
  <si>
    <t xml:space="preserve">Chưa chạy: thao tác xóa dữ liệu.</t>
  </si>
  <si>
    <t xml:space="preserve">Chưa test</t>
  </si>
  <si>
    <t xml:space="preserve">Bạn tự chạy và báo kết quả</t>
  </si>
  <si>
    <t xml:space="preserve">KS-15</t>
  </si>
  <si>
    <t xml:space="preserve">Tìm kiếm, lọc, phân trang danh sách sách (Admin)</t>
  </si>
  <si>
    <t xml:space="preserve">1. Tìm "clean"
2. Lọc thể loại Công nghệ thông tin
3. Xóa lọc, chuyển trang</t>
  </si>
  <si>
    <t xml:space="preserve">21 sách mẫu, 10 sách/trang</t>
  </si>
  <si>
    <t xml:space="preserve">Tìm "clean" ra 3 sách; lọc CNTT ra 3 sách; không lọc có 3 trang, bộ lọc được giữ khi chuyển trang.</t>
  </si>
  <si>
    <t xml:space="preserve">22 sách: trang 1 có 10, trang 2 có 10, trang 3 có 2. Tìm 'clean' ra 3, 'harry' ra 2; lọc thể loại đúng.</t>
  </si>
  <si>
    <t xml:space="preserve">KH-01</t>
  </si>
  <si>
    <t xml:space="preserve">Gói thẻ và khách hàng</t>
  </si>
  <si>
    <t xml:space="preserve">Tạo gói thành viên hợp lệ</t>
  </si>
  <si>
    <t xml:space="preserve">Admin &gt; Gói thành viên &gt; Thêm gói</t>
  </si>
  <si>
    <t xml:space="preserve">Tên: Sinh viên 3 tháng; giá 120.000; 3 tháng; cọc 50.000; 3 sách; 14 ngày; 1 lần gia hạn</t>
  </si>
  <si>
    <t xml:space="preserve">Thêm thành công, hiện trong danh sách.</t>
  </si>
  <si>
    <t xml:space="preserve">Đã thêm gói thành viên mới.</t>
  </si>
  <si>
    <t xml:space="preserve">KH-02</t>
  </si>
  <si>
    <t xml:space="preserve">Kiểm tra ràng buộc số trong gói</t>
  </si>
  <si>
    <t xml:space="preserve">Tạo gói với thời hạn 0 tháng, giá âm</t>
  </si>
  <si>
    <t xml:space="preserve">DurationMonths = 0; Price = -1</t>
  </si>
  <si>
    <t xml:space="preserve">Báo lỗi giá trị ngoài khoảng cho phép.</t>
  </si>
  <si>
    <t xml:space="preserve">Bị từ chối nhưng thông báo tiếng Anh: 'The field Phí gói must be between 0 and 100000000.' và 'The field Thời hạn (tháng) must be between 1 and 120.'</t>
  </si>
  <si>
    <t xml:space="preserve">Đặt ErrorMessage tiếng Việt (hoặc khóa resx) cho các thuộc tính [Range] trong ViewModel gói thẻ (và sách); kiểm tra lại các [Required], [StringLength] khác có dùng thông báo mặc định không.</t>
  </si>
  <si>
    <t xml:space="preserve">KH-03</t>
  </si>
  <si>
    <t xml:space="preserve">Không xóa gói đã bán</t>
  </si>
  <si>
    <t xml:space="preserve">Xóa gói "Thường - 1 tháng"</t>
  </si>
  <si>
    <t xml:space="preserve">Gói đã có thẻ</t>
  </si>
  <si>
    <t xml:space="preserve">Bị chặn, hướng dẫn bỏ "Đang bán".</t>
  </si>
  <si>
    <t xml:space="preserve">KH-04</t>
  </si>
  <si>
    <t xml:space="preserve">Tạo hồ sơ khách hợp lệ</t>
  </si>
  <si>
    <t xml:space="preserve">Admin &gt; Khách hàng &gt; Tạo hồ sơ khách</t>
  </si>
  <si>
    <t xml:space="preserve">Họ tên Lê Văn C; SĐT 0912000333</t>
  </si>
  <si>
    <t xml:space="preserve">Mã thành viên tự sinh (TV tăng dần), chuyển sang chi tiết khách.</t>
  </si>
  <si>
    <t xml:space="preserve">Tạo hồ sơ TV000004, chuyển tới trang chi tiết khách.</t>
  </si>
  <si>
    <t xml:space="preserve">KH-05</t>
  </si>
  <si>
    <t xml:space="preserve">SĐT sai định dạng</t>
  </si>
  <si>
    <t xml:space="preserve">Tạo khách với SĐT 123</t>
  </si>
  <si>
    <t xml:space="preserve">SĐT: 123</t>
  </si>
  <si>
    <t xml:space="preserve">Báo số điện thoại không hợp lệ.</t>
  </si>
  <si>
    <t xml:space="preserve">Báo 'Số điện thoại không hợp lệ (ví dụ 0901234567)'.</t>
  </si>
  <si>
    <t xml:space="preserve">KH-06</t>
  </si>
  <si>
    <t xml:space="preserve">SĐT không được trùng</t>
  </si>
  <si>
    <t xml:space="preserve">Tạo khách với SĐT đã có</t>
  </si>
  <si>
    <t xml:space="preserve">SĐT 0901234567</t>
  </si>
  <si>
    <t xml:space="preserve">Báo số điện thoại đã có trong hệ thống.</t>
  </si>
  <si>
    <t xml:space="preserve">Báo 'Số điện thoại này đã có trong hệ thống.'</t>
  </si>
  <si>
    <t xml:space="preserve">KH-07</t>
  </si>
  <si>
    <t xml:space="preserve">Bán thẻ lần đầu: thu phí và cọc</t>
  </si>
  <si>
    <t xml:space="preserve">Chi tiết khách mới &gt; Bán / gia hạn thẻ &gt; chọn "Thường - 1 tháng" &gt; Xác nhận</t>
  </si>
  <si>
    <t xml:space="preserve">Phí 50.000 + cọc 100.000</t>
  </si>
  <si>
    <t xml:space="preserve">Tổng thu 150.000 đ, 2 biên lai (phí thẻ, cọc); thẻ "Đang hiệu lực"; cọc đang giữ 100.000 đ.</t>
  </si>
  <si>
    <t xml:space="preserve">Bán thẻ: tổng thu 150.000 đ, biên lai PT000008 (phí thẻ 50.000) và PT000009 (cọc 100.000); cọc đang giữ 100.000 đ.</t>
  </si>
  <si>
    <t xml:space="preserve">KH-08</t>
  </si>
  <si>
    <t xml:space="preserve">Gia hạn thẻ: nối tiếp, không thu cọc lần hai</t>
  </si>
  <si>
    <t xml:space="preserve">Bán tiếp gói "VIP - 1 năm" cho khách đang còn thẻ</t>
  </si>
  <si>
    <t xml:space="preserve">Khách đang giữ cọc</t>
  </si>
  <si>
    <t xml:space="preserve">Thẻ mới bắt đầu ngay sau ngày hết hạn thẻ cũ; tổng thu 400.000 đ (không thu cọc).</t>
  </si>
  <si>
    <t xml:space="preserve">Thẻ mới 09/11 đến 09/12/2026 trạng thái 'Chờ hiệu lực', chỉ thu phí thẻ 50.000 (PT000014), không thu cọc.</t>
  </si>
  <si>
    <t xml:space="preserve">KH-09</t>
  </si>
  <si>
    <t xml:space="preserve">Khóa khách bắt buộc có lý do</t>
  </si>
  <si>
    <t xml:space="preserve">Chi tiết khách &gt; Khóa khách này, để trống lý do</t>
  </si>
  <si>
    <t xml:space="preserve">Lý do: (trống)</t>
  </si>
  <si>
    <t xml:space="preserve">Không khóa được, báo nhập lý do.</t>
  </si>
  <si>
    <t xml:space="preserve">Báo 'Vui lòng nhập lý do khóa.', khách không bị khóa.</t>
  </si>
  <si>
    <t xml:space="preserve">KH-10</t>
  </si>
  <si>
    <t xml:space="preserve">Khách bị khóa không mua thẻ, không mượn</t>
  </si>
  <si>
    <t xml:space="preserve">Khóa khách rồi thử Bán thẻ và Cho mượn</t>
  </si>
  <si>
    <t xml:space="preserve">Khách đã bị khóa</t>
  </si>
  <si>
    <t xml:space="preserve">Cả hai bị chặn kèm lý do khóa. Mở khóa thì dùng lại được.</t>
  </si>
  <si>
    <t xml:space="preserve">Trang bán thẻ báo khách đang bị khóa và không có form; trang cho mượn báo 'Không thể cho mượn: Khách đang bị khóa', ô nhập mã vạch bị ẩn.</t>
  </si>
  <si>
    <t xml:space="preserve">KH-11</t>
  </si>
  <si>
    <t xml:space="preserve">Không hoàn cọc khi còn sách chưa trả</t>
  </si>
  <si>
    <t xml:space="preserve">Khách còn mượn sách &gt; Hoàn cọc, hủy thẻ</t>
  </si>
  <si>
    <t xml:space="preserve">Khách có 1 cuốn chưa trả</t>
  </si>
  <si>
    <t xml:space="preserve">Trang hiện lý do không thể hoàn cọc, không có nút xác nhận.</t>
  </si>
  <si>
    <t xml:space="preserve">Báo 'Khách còn 1 cuốn sách chưa trả', không có nút xác nhận hoàn cọc.</t>
  </si>
  <si>
    <t xml:space="preserve">KH-12</t>
  </si>
  <si>
    <t xml:space="preserve">Hoàn cọc và hủy thẻ hợp lệ</t>
  </si>
  <si>
    <t xml:space="preserve">Khách không còn mượn/nợ &gt; Hoàn cọc, hủy thẻ &gt; Xác nhận</t>
  </si>
  <si>
    <t xml:space="preserve">Cọc đang giữ 100.000 đ</t>
  </si>
  <si>
    <t xml:space="preserve">Sinh giao dịch Hoàn cọc số ÂM (-100.000); các thẻ chuyển "Đã hủy"; cọc "Đã hoàn".</t>
  </si>
  <si>
    <t xml:space="preserve">Đã hủy thẻ và hoàn cọc 100.000 đ (PT000019, số tiền -100.000); cọc đang giữ về 0.</t>
  </si>
  <si>
    <t xml:space="preserve">MT-01</t>
  </si>
  <si>
    <t xml:space="preserve">Mượn, trả, gia hạn</t>
  </si>
  <si>
    <t xml:space="preserve">Cho mượn hợp lệ</t>
  </si>
  <si>
    <t xml:space="preserve">Admin &gt; Cho mượn sách &gt; nhập TV000001 &gt; nhập BC000101 và BC000201 (mỗi mã một dòng) &gt; Xác nhận</t>
  </si>
  <si>
    <t xml:space="preserve">Khách có thẻ Thường 1 tháng, chưa mượn</t>
  </si>
  <si>
    <t xml:space="preserve">Tạo phiếu 2 cuốn, hạn trả = hôm nay + 14 ngày; 2 bản sao chuyển "Đang mượn".</t>
  </si>
  <si>
    <t xml:space="preserve">Phiếu mượn tạo thành công, hạn trả = hôm nay + 14 ngày (02/11/2026), bản sao chuyển Đang mượn.</t>
  </si>
  <si>
    <t xml:space="preserve">MT-02</t>
  </si>
  <si>
    <t xml:space="preserve">Mã vạch không tồn tại</t>
  </si>
  <si>
    <t xml:space="preserve">Cho mượn với mã XYZ123</t>
  </si>
  <si>
    <t xml:space="preserve">Mã: XYZ123</t>
  </si>
  <si>
    <t xml:space="preserve">Báo không tìm thấy mã vạch, không tạo phiếu.</t>
  </si>
  <si>
    <t xml:space="preserve">Báo 'XYZ123: không tìm thấy mã vạch này.'</t>
  </si>
  <si>
    <t xml:space="preserve">MT-03</t>
  </si>
  <si>
    <t xml:space="preserve">Không cho mượn bản chỉ đọc tại chỗ</t>
  </si>
  <si>
    <t xml:space="preserve">Cho mượn mã BC001602 (Clean Code, bản tham khảo)</t>
  </si>
  <si>
    <t xml:space="preserve">Bản sao ReadOnSiteOnly</t>
  </si>
  <si>
    <t xml:space="preserve">Báo chỉ đọc tại chỗ, không cho mượn về.</t>
  </si>
  <si>
    <t xml:space="preserve">Báo 'BC002205: chỉ đọc tại chỗ, không cho mượn về.'</t>
  </si>
  <si>
    <t xml:space="preserve">MT-04</t>
  </si>
  <si>
    <t xml:space="preserve">Không cho mượn bản đang được mượn</t>
  </si>
  <si>
    <t xml:space="preserve">Cho mượn lại mã BC000101 sau MT-01</t>
  </si>
  <si>
    <t xml:space="preserve">Báo bản sao đang được mượn.</t>
  </si>
  <si>
    <t xml:space="preserve">Báo 'BC002201: đang được mượn.'</t>
  </si>
  <si>
    <t xml:space="preserve">MT-05</t>
  </si>
  <si>
    <t xml:space="preserve">Không vượt số sách tối đa trong một lần</t>
  </si>
  <si>
    <t xml:space="preserve">Khách đang mượn 2/3, nhập 2 mã</t>
  </si>
  <si>
    <t xml:space="preserve">Gói Thường: tối đa 3 cuốn</t>
  </si>
  <si>
    <t xml:space="preserve">Báo chỉ được mượn thêm 1 cuốn, không tạo phiếu.</t>
  </si>
  <si>
    <t xml:space="preserve">Báo 'Khách chỉ được mượn thêm 3 cuốn nữa... bạn đang nhập 4 mã.'</t>
  </si>
  <si>
    <t xml:space="preserve">MT-06</t>
  </si>
  <si>
    <t xml:space="preserve">Chặn khi đã mượn đủ số sách</t>
  </si>
  <si>
    <t xml:space="preserve">Khách mượn đủ 3/3 rồi tạo thêm phiếu</t>
  </si>
  <si>
    <t xml:space="preserve">3/3 cuốn</t>
  </si>
  <si>
    <t xml:space="preserve">Báo đã mượn đủ 3 cuốn (tối đa của gói), không hiện ô nhập mã.</t>
  </si>
  <si>
    <t xml:space="preserve">Khi 3/3: báo 'Khách đã mượn đủ 3 cuốn', ô nhập mã vạch bị ẩn.</t>
  </si>
  <si>
    <t xml:space="preserve">MT-07</t>
  </si>
  <si>
    <t xml:space="preserve">Chặn khách chưa có thẻ hiệu lực</t>
  </si>
  <si>
    <t xml:space="preserve">Cho mượn với khách mới (chưa bán thẻ)</t>
  </si>
  <si>
    <t xml:space="preserve">Khách chưa có thẻ</t>
  </si>
  <si>
    <t xml:space="preserve">Báo khách chưa có thẻ còn hiệu lực.</t>
  </si>
  <si>
    <t xml:space="preserve">Báo 'Khách chưa có thẻ còn hiệu lực', ô nhập mã vạch bị ẩn.</t>
  </si>
  <si>
    <t xml:space="preserve">MT-08</t>
  </si>
  <si>
    <t xml:space="preserve">Chặn khách còn sách quá hạn</t>
  </si>
  <si>
    <t xml:space="preserve">1. UPDATE LoanItems SET DueDate=DATEADD(day,-5,CAST(GETDATE() AS date)) WHERE Id=&lt;Id&gt;
2. Cho mượn thêm cho khách đó</t>
  </si>
  <si>
    <t xml:space="preserve">1 cuốn quá hạn 5 ngày</t>
  </si>
  <si>
    <t xml:space="preserve">Báo khách còn 1 cuốn quá hạn, cần trả trước.</t>
  </si>
  <si>
    <t xml:space="preserve">Báo 'Khách còn 2 cuốn quá hạn, cần trả trước khi mượn tiếp', ô nhập bị ẩn.</t>
  </si>
  <si>
    <t xml:space="preserve">Dùng SQL lùi DueDate</t>
  </si>
  <si>
    <t xml:space="preserve">MT-09</t>
  </si>
  <si>
    <t xml:space="preserve">Chặn khách còn nợ</t>
  </si>
  <si>
    <t xml:space="preserve">Tạo khoản nợ (MT-18) rồi cho mượn</t>
  </si>
  <si>
    <t xml:space="preserve">Khách có khoản Còn nợ</t>
  </si>
  <si>
    <t xml:space="preserve">Báo khách còn nợ, cần thanh toán trước.</t>
  </si>
  <si>
    <t xml:space="preserve">Báo 'Khách còn nợ 80.000 đ, cần thanh toán trước khi mượn tiếp.'</t>
  </si>
  <si>
    <t xml:space="preserve">MT-10</t>
  </si>
  <si>
    <t xml:space="preserve">Hai Admin không cho mượn trùng một bản</t>
  </si>
  <si>
    <t xml:space="preserve">1. Mở 2 tab Admin, cùng nhập BC000301 cho 2 khách khác nhau
2. Bấm xác nhận ở 2 tab (càng sát nhau càng tốt)
3. SQL: SELECT BookCopyId, COUNT(*) FROM LoanItems WHERE ReturnedAt IS NULL GROUP BY BookCopyId HAVING COUNT(*)&gt;1</t>
  </si>
  <si>
    <t xml:space="preserve">Cùng bản sao BC000301</t>
  </si>
  <si>
    <t xml:space="preserve">Chỉ một tab thành công; tab còn lại báo bản sao đang mượn hoặc vừa được người khác thao tác. Truy vấn SQL trả 0 dòng.</t>
  </si>
  <si>
    <t xml:space="preserve">Hai yêu cầu đồng thời cho cùng BC000301: một thành công, một báo 'đang được mượn'.</t>
  </si>
  <si>
    <t xml:space="preserve">MT-11</t>
  </si>
  <si>
    <t xml:space="preserve">Gia hạn hợp lệ tại quầy</t>
  </si>
  <si>
    <t xml:space="preserve">Chi tiết phiếu mượn &gt; Gia hạn</t>
  </si>
  <si>
    <t xml:space="preserve">Gói Thường (14 ngày, tối đa 1 lần), sách chưa quá hạn</t>
  </si>
  <si>
    <t xml:space="preserve">Hạn trả tăng 14 ngày, số lần gia hạn = 1, thông báo xanh.</t>
  </si>
  <si>
    <t xml:space="preserve">Gia hạn thêm 14 ngày, hạn mới 16/11/2026.</t>
  </si>
  <si>
    <t xml:space="preserve">MT-12</t>
  </si>
  <si>
    <t xml:space="preserve">Không gia hạn quá số lần</t>
  </si>
  <si>
    <t xml:space="preserve">Gia hạn lần hai cùng cuốn</t>
  </si>
  <si>
    <t xml:space="preserve">Đã gia hạn 1/1</t>
  </si>
  <si>
    <t xml:space="preserve">Báo đã gia hạn tối đa 1 lần.</t>
  </si>
  <si>
    <t xml:space="preserve">Báo 'Không gia hạn được: Đã gia hạn tối đa 1 lần.'</t>
  </si>
  <si>
    <t xml:space="preserve">MT-13</t>
  </si>
  <si>
    <t xml:space="preserve">Không gia hạn sách quá hạn</t>
  </si>
  <si>
    <t xml:space="preserve">Gia hạn cuốn đã quá hạn (đổi hạn như MT-08)</t>
  </si>
  <si>
    <t xml:space="preserve">DueDate &lt; hôm nay</t>
  </si>
  <si>
    <t xml:space="preserve">Báo sách đã quá hạn, hãy trả sách.</t>
  </si>
  <si>
    <t xml:space="preserve">Báo 'Sách đã quá hạn, không gia hạn được. Hãy trả sách.'</t>
  </si>
  <si>
    <t xml:space="preserve">MT-14</t>
  </si>
  <si>
    <t xml:space="preserve">Trả đúng hạn</t>
  </si>
  <si>
    <t xml:space="preserve">Admin &gt; Trả sách &gt; quét BC000101 &gt; Trả bình thường &gt; Xác nhận</t>
  </si>
  <si>
    <t xml:space="preserve">Sách thuê 5.000 đ, đúng hạn, thu tiền ngay</t>
  </si>
  <si>
    <t xml:space="preserve">Thu phí thuê 5.000 đ (1 biên lai); bản sao về "Sẵn sàng"; dòng mượn "Đã trả".</t>
  </si>
  <si>
    <t xml:space="preserve">Thu 5.000 đ phí thuê, không phạt (biên lai PT000007, PT000020).</t>
  </si>
  <si>
    <t xml:space="preserve">MT-15</t>
  </si>
  <si>
    <t xml:space="preserve">Trả trễ: tính phạt</t>
  </si>
  <si>
    <t xml:space="preserve">Đổi hạn lùi 5 ngày (như MT-08), rồi trả</t>
  </si>
  <si>
    <t xml:space="preserve">Phạt 2.000 đ/ngày; sách thuê 5.000 đ</t>
  </si>
  <si>
    <t xml:space="preserve">Phạt 5 × 2.000 = 10.000 đ; tổng thu 15.000 đ (phí thuê + phạt), 2 biên lai.</t>
  </si>
  <si>
    <t xml:space="preserve">Trễ 5 ngày: phạt 10.000 đ (5 x 2.000), sách miễn phí thuê, thu 10.000 đ (PT000021).</t>
  </si>
  <si>
    <t xml:space="preserve">MT-16</t>
  </si>
  <si>
    <t xml:space="preserve">Phạt không vượt giá sách</t>
  </si>
  <si>
    <t xml:space="preserve">Đổi hạn lùi 100 ngày rồi trả</t>
  </si>
  <si>
    <t xml:space="preserve">Giá đền sách 80.000 đ (Cho tôi xin một vé đi tuổi thơ)</t>
  </si>
  <si>
    <t xml:space="preserve">Phạt trễ bị giới hạn bằng 80.000 đ (không phải 200.000 đ).</t>
  </si>
  <si>
    <t xml:space="preserve">Chỉ kiểm tra được một nửa: trễ 100 ngày phạt 200.000 đ (100 x 2.000, nhỏ hơn giá đền 320.000), chưa có ca phạt vượt giá đền để thấy giới hạn tối đa.</t>
  </si>
  <si>
    <t xml:space="preserve">Cần ca phạt &gt; giá đền, ví dụ Chí Phèo (giá đền 50.000) trễ 30 ngày thì phạt phải là 50.000</t>
  </si>
  <si>
    <t xml:space="preserve">MT-17</t>
  </si>
  <si>
    <t xml:space="preserve">Trả sách hỏng</t>
  </si>
  <si>
    <t xml:space="preserve">Màn Trả &gt; chọn "Sách bị hỏng" &gt; Xác nhận</t>
  </si>
  <si>
    <t xml:space="preserve">Tiền đền gợi ý = 50% giá đền</t>
  </si>
  <si>
    <t xml:space="preserve">Thu phí thuê + phạt (nếu có) + tiền đền; bản sao chuyển "Hỏng"; tổng tiền hiển thị khớp số thu.</t>
  </si>
  <si>
    <t xml:space="preserve">Trả hỏng: thu 35.000 đ (phí thuê 5.000 + tiền đền 30.000), biên lai PT000015, PT000016; bản sao chuyển Hỏng.</t>
  </si>
  <si>
    <t xml:space="preserve">MT-18</t>
  </si>
  <si>
    <t xml:space="preserve">Trả sách mất, ghi nợ</t>
  </si>
  <si>
    <t xml:space="preserve">Màn Trả &gt; "Sách bị mất" &gt; bỏ tick "Thu tiền ngay" &gt; Xác nhận</t>
  </si>
  <si>
    <t xml:space="preserve">Tiền đền = giá đền sách</t>
  </si>
  <si>
    <t xml:space="preserve">Chỉ có khoản Đền sách ở trạng thái "Còn nợ"; bản sao "Mất"; khách bị chặn mượn.</t>
  </si>
  <si>
    <t xml:space="preserve">Ghi nhận mất, ghi nợ 80.000 đ (PT000018 trạng thái Còn nợ), bản sao chuyển Mất.</t>
  </si>
  <si>
    <t xml:space="preserve">MT-19</t>
  </si>
  <si>
    <t xml:space="preserve">Thu nợ</t>
  </si>
  <si>
    <t xml:space="preserve">Chi tiết khách &gt; Khoản còn nợ &gt; Thu nợ</t>
  </si>
  <si>
    <t xml:space="preserve">Khoản nợ ở MT-18</t>
  </si>
  <si>
    <t xml:space="preserve">Khoản chuyển "Đã thu", khách mượn lại được.</t>
  </si>
  <si>
    <t xml:space="preserve">Đã thu khoản PT000018 80.000 đ; còn nợ về 0; khách mượn lại được.</t>
  </si>
  <si>
    <t xml:space="preserve">MT-20</t>
  </si>
  <si>
    <t xml:space="preserve">Kiểm tra tiền đền khi mất</t>
  </si>
  <si>
    <t xml:space="preserve">Chọn "Sách bị mất" và nhập tiền đền 0</t>
  </si>
  <si>
    <t xml:space="preserve">Giá đền sách &gt; 0</t>
  </si>
  <si>
    <t xml:space="preserve">Báo lỗi cần nhập tiền đền, không lưu.</t>
  </si>
  <si>
    <t xml:space="preserve">Báo 'Sách mất cần nhập tiền đền (gợi ý: giá đền của sách).'</t>
  </si>
  <si>
    <t xml:space="preserve">MT-21</t>
  </si>
  <si>
    <t xml:space="preserve">Quét mã vạch sách không đang mượn</t>
  </si>
  <si>
    <t xml:space="preserve">Màn Trả: nhập mã bản sao đang Sẵn sàng</t>
  </si>
  <si>
    <t xml:space="preserve">Bản sao không có phiếu mở</t>
  </si>
  <si>
    <t xml:space="preserve">Báo bản sao hiện không ở trạng thái đang mượn.</t>
  </si>
  <si>
    <t xml:space="preserve">Báo 'Bản sao BC000601 hiện không ở trạng thái đang mượn.'</t>
  </si>
  <si>
    <t xml:space="preserve">MT-22</t>
  </si>
  <si>
    <t xml:space="preserve">In phiếu mượn</t>
  </si>
  <si>
    <t xml:space="preserve">Chi tiết phiếu &gt; In phiếu</t>
  </si>
  <si>
    <t xml:space="preserve">Phiếu có 2 cuốn</t>
  </si>
  <si>
    <t xml:space="preserve">Mở trang in: khách, thủ thư, danh sách sách, hạn trả, chỗ ký; nút In hoạt động.</t>
  </si>
  <si>
    <t xml:space="preserve">Trang in PM00002 hiện đủ 2 cuốn, có lệnh in tự động.</t>
  </si>
  <si>
    <t xml:space="preserve">Thấp</t>
  </si>
  <si>
    <t xml:space="preserve">TT-01</t>
  </si>
  <si>
    <t xml:space="preserve">Thu tiền và báo cáo</t>
  </si>
  <si>
    <t xml:space="preserve">Sổ giao dịch: lọc theo ngày và loại</t>
  </si>
  <si>
    <t xml:space="preserve">Admin &gt; Sổ giao dịch &gt; đặt khoảng ngày, chọn loại "Phạt trả trễ" &gt; Lọc</t>
  </si>
  <si>
    <t xml:space="preserve">Có giao dịch nhiều loại</t>
  </si>
  <si>
    <t xml:space="preserve">Chỉ hiện đúng loại và khoảng ngày; 4 thẻ tổng khớp với danh sách.</t>
  </si>
  <si>
    <t xml:space="preserve">Lọc theo loại Tiền cọc ra 5 dòng đúng loại; lọc trạng thái, khoảng ngày đúng; khoảng không có dữ liệu hiện thông báo rỗng.</t>
  </si>
  <si>
    <t xml:space="preserve">TT-02</t>
  </si>
  <si>
    <t xml:space="preserve">Phân trang giữ bộ lọc</t>
  </si>
  <si>
    <t xml:space="preserve">Lọc rồi chuyển sang trang 2; xóa hai ô ngày để xem tất cả, chuyển trang</t>
  </si>
  <si>
    <t xml:space="preserve">Hơn 15 giao dịch</t>
  </si>
  <si>
    <t xml:space="preserve">Bộ lọc được giữ khi chuyển trang; khi xóa ngày vẫn xem toàn bộ thời gian (không bị áp lại mặc định).</t>
  </si>
  <si>
    <t xml:space="preserve">Liên kết phân trang giữ nguyên dateFrom, dateTo, method.</t>
  </si>
  <si>
    <t xml:space="preserve">TT-03</t>
  </si>
  <si>
    <t xml:space="preserve">Xuất CSV</t>
  </si>
  <si>
    <t xml:space="preserve">Bấm Xuất CSV (Excel) và mở file bằng Excel</t>
  </si>
  <si>
    <t xml:space="preserve">Bộ lọc bất kỳ</t>
  </si>
  <si>
    <t xml:space="preserve">Tiếng Việt hiển thị đúng; số dòng bằng số kết quả lọc; cột đủ thông tin.</t>
  </si>
  <si>
    <t xml:space="preserve">Tệp CSV UTF-8 có BOM (mở được bằng Excel), 10 cột tiêu đề, số dòng khớp bộ lọc.</t>
  </si>
  <si>
    <t xml:space="preserve">TT-04</t>
  </si>
  <si>
    <t xml:space="preserve">Hủy giao dịch có lý do</t>
  </si>
  <si>
    <t xml:space="preserve">Ở dòng Phạt/Phí thuê &gt; Hủy &gt; nhập lý do ≥ 5 ký tự &gt; Xác nhận hủy</t>
  </si>
  <si>
    <t xml:space="preserve">Lý do: Khách có xác nhận miễn phạt</t>
  </si>
  <si>
    <t xml:space="preserve">Dòng chuyển "Đã hủy" (gạch ngang, hiện lý do và người hủy); doanh thu giảm tương ứng; nếu là khoản nợ thì khách mượn lại được.</t>
  </si>
  <si>
    <t xml:space="preserve">Giao dịch chuyển 'Đã hủy', hiện lý do và người hủy, doanh thu giảm tương ứng.</t>
  </si>
  <si>
    <t xml:space="preserve">TT-05</t>
  </si>
  <si>
    <t xml:space="preserve">Hủy giao dịch phải có lý do</t>
  </si>
  <si>
    <t xml:space="preserve">Hủy với lý do trống hoặc dưới 5 ký tự</t>
  </si>
  <si>
    <t xml:space="preserve">Lý do: abc</t>
  </si>
  <si>
    <t xml:space="preserve">Không hủy được, báo nhập lý do.</t>
  </si>
  <si>
    <t xml:space="preserve">Báo 'Vui lòng nhập lý do hủy (ít nhất 5 ký tự).'</t>
  </si>
  <si>
    <t xml:space="preserve">TT-06</t>
  </si>
  <si>
    <t xml:space="preserve">Không hủy phí thẻ, cọc, hoàn cọc</t>
  </si>
  <si>
    <t xml:space="preserve">Xem dòng Phí thẻ / Tiền cọc trong sổ</t>
  </si>
  <si>
    <t xml:space="preserve">Giao dịch loại gắn với thẻ</t>
  </si>
  <si>
    <t xml:space="preserve">Không có nút Hủy; nếu gửi POST trực tiếp thì bị từ chối kèm hướng dẫn dùng "Hoàn cọc, hủy thẻ".</t>
  </si>
  <si>
    <t xml:space="preserve">Dòng phí thẻ, cọc, hoàn cọc không có nút Hủy; ép POST báo không hủy trực tiếp và giao dịch giữ nguyên.</t>
  </si>
  <si>
    <t xml:space="preserve">TT-07</t>
  </si>
  <si>
    <t xml:space="preserve">Doanh thu không gồm tiền cọc</t>
  </si>
  <si>
    <t xml:space="preserve">Bán thẻ 150.000 đ rồi xem Bảng điều khiển</t>
  </si>
  <si>
    <t xml:space="preserve">Doanh thu hôm nay tăng 50.000 đ; "Tiền cọc đang giữ" tăng 100.000 đ.</t>
  </si>
  <si>
    <t xml:space="preserve">Doanh thu hôm nay trên bảng điều khiển (320.000 đ) khớp tổng tay các khoản phí thẻ, phí thuê, phạt, đền đã thu; không gồm cọc.</t>
  </si>
  <si>
    <t xml:space="preserve">TT-08</t>
  </si>
  <si>
    <t xml:space="preserve">Báo cáo doanh thu theo ngày</t>
  </si>
  <si>
    <t xml:space="preserve">Admin &gt; Báo cáo &gt; Doanh thu, chọn khoảng ngày, Gom theo Ngày</t>
  </si>
  <si>
    <t xml:space="preserve">Khoảng 7 ngày</t>
  </si>
  <si>
    <t xml:space="preserve">Mỗi ngày một dòng (ngày không có doanh thu hiện "—"); tổng khớp doanh thu trong Sổ giao dịch cùng khoảng ngày.</t>
  </si>
  <si>
    <t xml:space="preserve">7 dòng theo ngày, dòng 19/10 tổng 320.000 đ khớp bảng điều khiển.</t>
  </si>
  <si>
    <t xml:space="preserve">TT-09</t>
  </si>
  <si>
    <t xml:space="preserve">Báo cáo doanh thu theo tháng</t>
  </si>
  <si>
    <t xml:space="preserve">Đổi Gom theo = Tháng</t>
  </si>
  <si>
    <t xml:space="preserve">Khoảng nhiều tháng</t>
  </si>
  <si>
    <t xml:space="preserve">Mỗi tháng một dòng, tổng khớp với bản gom theo ngày.</t>
  </si>
  <si>
    <t xml:space="preserve">3 dòng theo tháng, 10/2026 tổng 820.000 đ khớp tổng đầu trang.</t>
  </si>
  <si>
    <t xml:space="preserve">TT-10</t>
  </si>
  <si>
    <t xml:space="preserve">Báo cáo sách quá hạn</t>
  </si>
  <si>
    <t xml:space="preserve">Tạo sách quá hạn (MT-08) rồi mở tab Sách quá hạn</t>
  </si>
  <si>
    <t xml:space="preserve">Có ít nhất 1 cuốn quá hạn</t>
  </si>
  <si>
    <t xml:space="preserve">Liệt kê đúng khách, SĐT, số ngày trễ, phạt ước tính; nút Trả mở màn Trả sách.</t>
  </si>
  <si>
    <t xml:space="preserve">Báo 2 cuốn quá hạn: The Clean Coder trễ 100 ngày phạt 200.000 đ, Chí Phèo trễ 5 ngày phạt 10.000 đ.</t>
  </si>
  <si>
    <t xml:space="preserve">TT-11</t>
  </si>
  <si>
    <t xml:space="preserve">Sách mượn nhiều và sách tồn lâu</t>
  </si>
  <si>
    <t xml:space="preserve">Mở tab Sách mượn nhiều / tồn lâu</t>
  </si>
  <si>
    <t xml:space="preserve">Đã có phiếu mượn</t>
  </si>
  <si>
    <t xml:space="preserve">Top 10 đúng số lượt mượn; sách chưa từng mượn hiện "Chưa từng mượn".</t>
  </si>
  <si>
    <t xml:space="preserve">Top sách có lượt mượn đúng; danh sách sách tồn lâu hiện các sách chưa từng mượn.</t>
  </si>
  <si>
    <t xml:space="preserve">TT-12</t>
  </si>
  <si>
    <t xml:space="preserve">1. UPDATE Memberships SET EndDate=DATEADD(day,5,CAST(GETDATE() AS date)) WHERE Id=&lt;Id&gt;
2. Mở tab Thẻ sắp hết hạn</t>
  </si>
  <si>
    <t xml:space="preserve">Hạn thẻ còn 5 ngày, khoảng 14 ngày</t>
  </si>
  <si>
    <t xml:space="preserve">Khách xuất hiện với nhãn còn 5 ngày và nút Gia hạn.</t>
  </si>
  <si>
    <t xml:space="preserve">Báo TV000005 hết hạn 24/10/2026, còn 5 ngày.</t>
  </si>
  <si>
    <t xml:space="preserve">Dùng SQL đặt EndDate</t>
  </si>
  <si>
    <t xml:space="preserve">TT-13</t>
  </si>
  <si>
    <t xml:space="preserve">Báo cáo kho sách</t>
  </si>
  <si>
    <t xml:space="preserve">Mở tab Kho sách</t>
  </si>
  <si>
    <t xml:space="preserve">Dữ liệu hiện có</t>
  </si>
  <si>
    <t xml:space="preserve">Số bản theo trạng thái cộng lại bằng tổng bản sao; giá trị mất/hỏng tính theo giá đền.</t>
  </si>
  <si>
    <t xml:space="preserve">Tổng 56 bản: Sẵn sàng 51, Đang mượn 1, Mất 2, Hỏng 2; thống kê theo thể loại khớp.</t>
  </si>
  <si>
    <t xml:space="preserve">WEB-01</t>
  </si>
  <si>
    <t xml:space="preserve">Cổng công khai, session, cookie, AJAX, API</t>
  </si>
  <si>
    <t xml:space="preserve">Trang chủ hiển thị đúng</t>
  </si>
  <si>
    <t xml:space="preserve">Mở /</t>
  </si>
  <si>
    <t xml:space="preserve">Dữ liệu mẫu</t>
  </si>
  <si>
    <t xml:space="preserve">Hiện 21 đầu sách, 51 bản, 6 thể loại, sách mới nhập; giao diện đúng theme, responsive khi thu nhỏ cửa sổ.</t>
  </si>
  <si>
    <t xml:space="preserve">Trang chủ hiện đủ ô tìm kiếm, số liệu, thể loại, sách mới nhập; ảnh bìa hiển thị.</t>
  </si>
  <si>
    <t xml:space="preserve">WEB-02</t>
  </si>
  <si>
    <t xml:space="preserve">Tìm kiếm từ trang chủ</t>
  </si>
  <si>
    <t xml:space="preserve">Gõ "clean" vào ô tìm kiếm trang chủ &gt; Tìm sách</t>
  </si>
  <si>
    <t xml:space="preserve">Từ khóa: clean</t>
  </si>
  <si>
    <t xml:space="preserve">Chuyển tới /Catalog?q=clean, hiện 3 sách.</t>
  </si>
  <si>
    <t xml:space="preserve">Tìm 'clean' ra 3 đầu sách.</t>
  </si>
  <si>
    <t xml:space="preserve">WEB-03</t>
  </si>
  <si>
    <t xml:space="preserve">Lọc chỉ sách còn mượn được</t>
  </si>
  <si>
    <t xml:space="preserve">Tra cứu sách &gt; tick "Chỉ sách còn mượn được"</t>
  </si>
  <si>
    <t xml:space="preserve">Có sách tạm hết</t>
  </si>
  <si>
    <t xml:space="preserve">Chỉ còn sách có bản mượn về được.</t>
  </si>
  <si>
    <t xml:space="preserve">Tất cả 22 sách; bật 'chỉ sách còn mượn được' còn 21, The Clean Coder (hết bản) bị loại.</t>
  </si>
  <si>
    <t xml:space="preserve">WEB-04</t>
  </si>
  <si>
    <t xml:space="preserve">Sắp xếp và phân trang</t>
  </si>
  <si>
    <t xml:space="preserve">Chọn "Mới nhập"; chuyển trang</t>
  </si>
  <si>
    <t xml:space="preserve">21 sách, 12 sách/trang</t>
  </si>
  <si>
    <t xml:space="preserve">Sắp theo sách mới nhập trước; có 2 trang; bộ lọc được giữ khi chuyển trang.</t>
  </si>
  <si>
    <t xml:space="preserve">12 sách trên trang 1, 10 sách trang 2, có nút Xem thêm và phân trang.</t>
  </si>
  <si>
    <t xml:space="preserve">WEB-05</t>
  </si>
  <si>
    <t xml:space="preserve">Chi tiết sách</t>
  </si>
  <si>
    <t xml:space="preserve">Mở chi tiết vài sách, gồm sách có bản chỉ đọc tại chỗ</t>
  </si>
  <si>
    <t xml:space="preserve">Clean Code (có bản chỉ đọc)</t>
  </si>
  <si>
    <t xml:space="preserve">Hiện đúng số bản mượn được và nhãn "+ n bản đọc tại chỗ"; thông tin ISBN, phí thuê.</t>
  </si>
  <si>
    <t xml:space="preserve">Clean Code: 'Còn 1 bản có thể mượn về + 1 bản đọc tại chỗ', phí thuê 10.000 đ.</t>
  </si>
  <si>
    <t xml:space="preserve">WEB-06</t>
  </si>
  <si>
    <t xml:space="preserve">COOKIE: sách xem gần đây</t>
  </si>
  <si>
    <t xml:space="preserve">Xem chi tiết 3 sách rồi về trang chủ; F12 &gt; Application &gt; Cookies</t>
  </si>
  <si>
    <t xml:space="preserve">Mục "Bạn đã xem gần đây" có 3 sách, mới nhất đầu tiên; cookie recent_books HttpOnly, hạn 30 ngày.</t>
  </si>
  <si>
    <t xml:space="preserve">Sau khi xem 3 sách, trang chủ có mục 'Bạn đã xem gần đây', thứ tự mới nhất trước; cookie recent_books là HttpOnly (JavaScript không đọc được).</t>
  </si>
  <si>
    <t xml:space="preserve">WEB-07</t>
  </si>
  <si>
    <t xml:space="preserve">COOKIE bị sửa giá trị bậy</t>
  </si>
  <si>
    <t xml:space="preserve">Sửa cookie recent_books thành abc,-5,99999 rồi tải lại /</t>
  </si>
  <si>
    <t xml:space="preserve">recent_books = abc,-5,99999</t>
  </si>
  <si>
    <t xml:space="preserve">Trang vẫn hiển thị bình thường, bỏ qua giá trị không hợp lệ.</t>
  </si>
  <si>
    <t xml:space="preserve">Chưa chạy: cần sửa cookie bằng F12 (cookie HttpOnly).</t>
  </si>
  <si>
    <t xml:space="preserve">WEB-08</t>
  </si>
  <si>
    <t xml:space="preserve">SESSION: giỏ quan tâm</t>
  </si>
  <si>
    <t xml:space="preserve">Thêm 2 sách vào giỏ; mở Giỏ quan tâm; bỏ 1 cuốn; xóa giỏ</t>
  </si>
  <si>
    <t xml:space="preserve">Huy hiệu trên menu đổi 2 → 1 → 0; danh sách đúng; cookie .Library.Session HttpOnly.</t>
  </si>
  <si>
    <t xml:space="preserve">Thêm sách vào giỏ thành công, giỏ hiện đúng các sách đã thêm.</t>
  </si>
  <si>
    <t xml:space="preserve">WEB-09</t>
  </si>
  <si>
    <t xml:space="preserve">SESSION: giới hạn 20 sách</t>
  </si>
  <si>
    <t xml:space="preserve">Thêm lần lượt 21 sách khác nhau vào giỏ</t>
  </si>
  <si>
    <t xml:space="preserve">21 sách mẫu</t>
  </si>
  <si>
    <t xml:space="preserve">Sách thứ 21 bị từ chối, báo giỏ chỉ chứa tối đa 20 sách.</t>
  </si>
  <si>
    <t xml:space="preserve">Giỏ đầy 20 sách; thêm sách thứ 21 báo 'Giỏ quan tâm chỉ chứa tối đa 20 sách.'</t>
  </si>
  <si>
    <t xml:space="preserve">WEB-10</t>
  </si>
  <si>
    <t xml:space="preserve">SESSION: mất khi đóng phiên</t>
  </si>
  <si>
    <t xml:space="preserve">Thêm sách vào giỏ, xóa cookie .Library.Session (hoặc mở cửa sổ ẩn danh mới)</t>
  </si>
  <si>
    <t xml:space="preserve">Giỏ trống ở phiên mới.</t>
  </si>
  <si>
    <t xml:space="preserve">Sau khi đóng và mở lại Chrome, giỏ vẫn còn. Nguyên nhân nhiều khả năng do Chrome đang bật 'tiếp tục từ nơi bạn đã dừng lại' nên khôi phục cookie phiên; chưa kết luận lỗi của ứng dụng.</t>
  </si>
  <si>
    <t xml:space="preserve">Test lại bằng cửa sổ ẩn danh (Ctrl+Shift+N): thêm sách, đóng hẳn cửa sổ, mở cửa sổ ẩn danh mới thì giỏ phải rỗng. Phiên cũng tự hết sau 30 phút không hoạt động.</t>
  </si>
  <si>
    <t xml:space="preserve">Bạn chạy; kết quả cần xác nhận lại</t>
  </si>
  <si>
    <t xml:space="preserve">WEB-11</t>
  </si>
  <si>
    <t xml:space="preserve">AJAX: tìm kiếm tức thì</t>
  </si>
  <si>
    <t xml:space="preserve">Mở Tra cứu sách, F12 &gt; Network, gõ "har" vào ô từ khóa</t>
  </si>
  <si>
    <t xml:space="preserve">Từ khóa: har</t>
  </si>
  <si>
    <t xml:space="preserve">Sau khoảng 300 ms có một request GET /api/books?...; lưới đổi mà trang không tải lại; số kết quả cập nhật.</t>
  </si>
  <si>
    <t xml:space="preserve">Gõ 'har': tự cập nhật còn 7 đầu sách (tên, tác giả Harari, Harry, Haruki), chỉ 1 lần gọi API, trang không tải lại.</t>
  </si>
  <si>
    <t xml:space="preserve">WEB-12</t>
  </si>
  <si>
    <t xml:space="preserve">AJAX: lọc, Xem thêm</t>
  </si>
  <si>
    <t xml:space="preserve">Đổi thể loại, sắp xếp, tick còn mượn được; bấm Xem thêm</t>
  </si>
  <si>
    <t xml:space="preserve">Lưới cập nhật tức thì; Xem thêm nạp trang kế tiếp; địa chỉ trình duyệt cập nhật theo bộ lọc.</t>
  </si>
  <si>
    <t xml:space="preserve">Bấm Xem thêm nối thêm sách vào lưới, lọc thể loại cập nhật tại chỗ, trang không tải lại.</t>
  </si>
  <si>
    <t xml:space="preserve">WEB-13</t>
  </si>
  <si>
    <t xml:space="preserve">AJAX: không có kết quả</t>
  </si>
  <si>
    <t xml:space="preserve">Gõ từ khóa vô nghĩa</t>
  </si>
  <si>
    <t xml:space="preserve">Từ khóa: zzzzzz</t>
  </si>
  <si>
    <t xml:space="preserve">Hiện "Không có sách nào phù hợp với bộ lọc", ẩn nút Xem thêm.</t>
  </si>
  <si>
    <t xml:space="preserve">Gõ 'zzzzzz': hiện 'Không có sách nào phù hợp với bộ lọc.'</t>
  </si>
  <si>
    <t xml:space="preserve">WEB-14</t>
  </si>
  <si>
    <t xml:space="preserve">Tài khoản của tôi: tổng quan</t>
  </si>
  <si>
    <t xml:space="preserve">Đăng nhập khách &gt; /My</t>
  </si>
  <si>
    <t xml:space="preserve">Khách TV000001</t>
  </si>
  <si>
    <t xml:space="preserve">Hiện thẻ, hạn thẻ, đang mượn x/3, còn nợ, cọc đang giữ; nếu chưa mượn được thì liệt kê lý do.</t>
  </si>
  <si>
    <t xml:space="preserve">Tổng quan hiện thẻ Thường - 1 tháng còn hạn, 0/3 sách, nợ 0 đ, cọc 100.000 đ.</t>
  </si>
  <si>
    <t xml:space="preserve">WEB-15</t>
  </si>
  <si>
    <t xml:space="preserve">Sách đang mượn</t>
  </si>
  <si>
    <t xml:space="preserve">/My/Loans</t>
  </si>
  <si>
    <t xml:space="preserve">Khách đang mượn 2 cuốn, 1 cuốn quá hạn</t>
  </si>
  <si>
    <t xml:space="preserve">Hiện hạn trả, "còn n ngày" hoặc "quá hạn n ngày" (màu đỏ).</t>
  </si>
  <si>
    <t xml:space="preserve">Danh sách sách đang mượn hiện 2 cuốn kèm số ngày còn lại. Chưa kiểm tra hiển thị sách quá hạn từ phía khách.</t>
  </si>
  <si>
    <t xml:space="preserve">Cần bật lại tài khoản khách và tạo lại sách quá hạn</t>
  </si>
  <si>
    <t xml:space="preserve">WEB-16</t>
  </si>
  <si>
    <t xml:space="preserve">AJAX: gia hạn không tải lại trang</t>
  </si>
  <si>
    <t xml:space="preserve">Bấm Gia hạn một cuốn hợp lệ (F12 &gt; Network)</t>
  </si>
  <si>
    <t xml:space="preserve">Sách chưa quá hạn, còn lượt gia hạn</t>
  </si>
  <si>
    <t xml:space="preserve">Có POST /api/me/loans/{id}/renew trả 200; ngày hạn, số lần gia hạn cập nhật tại chỗ; hiện thông báo xanh; trang không tải lại.</t>
  </si>
  <si>
    <t xml:space="preserve">Gọi gia hạn qua API trả 200, hạn 02/11 chuyển 16/11/2026, renewCount 1, canRenew false.</t>
  </si>
  <si>
    <t xml:space="preserve">Mình gọi API có token; chưa bấm nút trên giao diện</t>
  </si>
  <si>
    <t xml:space="preserve">WEB-17</t>
  </si>
  <si>
    <t xml:space="preserve">Hết lượt gia hạn</t>
  </si>
  <si>
    <t xml:space="preserve">Gia hạn đến khi hết lượt (gói Thường: 1 lần)</t>
  </si>
  <si>
    <t xml:space="preserve">RenewCount = tối đa</t>
  </si>
  <si>
    <t xml:space="preserve">Nút đổi thành "Hết lượt gia hạn".</t>
  </si>
  <si>
    <t xml:space="preserve">Gia hạn lần 2 trả 409: 'Đã gia hạn tối đa 1 lần.'</t>
  </si>
  <si>
    <t xml:space="preserve">WEB-18</t>
  </si>
  <si>
    <t xml:space="preserve">Lịch sử mượn trả, thanh toán</t>
  </si>
  <si>
    <t xml:space="preserve">/My/History và /My/Payments</t>
  </si>
  <si>
    <t xml:space="preserve">Khách có lịch sử và biên lai</t>
  </si>
  <si>
    <t xml:space="preserve">Danh sách đúng, có phân trang; khoản nợ hiện cảnh báo đỏ.</t>
  </si>
  <si>
    <t xml:space="preserve">Lịch sử mượn trả và trang thanh toán hiện đúng dữ liệu, biên lai khớp.</t>
  </si>
  <si>
    <t xml:space="preserve">WEB-19</t>
  </si>
  <si>
    <t xml:space="preserve">Hồ sơ cá nhân</t>
  </si>
  <si>
    <t xml:space="preserve">/My/Profile: sửa họ tên, địa chỉ, ngày sinh; Lưu</t>
  </si>
  <si>
    <t xml:space="preserve">Ngày sinh tương lai thì lỗi</t>
  </si>
  <si>
    <t xml:space="preserve">Lưu thành công; SĐT và mã thành viên chỉ hiển thị, không sửa được; ngày sinh tương lai bị từ chối.</t>
  </si>
  <si>
    <t xml:space="preserve">Ngày sinh tương lai báo 'Ngày sinh không được ở tương lai.'; ngày hợp lệ báo 'Đã cập nhật hồ sơ.'</t>
  </si>
  <si>
    <t xml:space="preserve">WEB-20</t>
  </si>
  <si>
    <t xml:space="preserve">API: danh sách sách có lọc và phân trang</t>
  </si>
  <si>
    <t xml:space="preserve">Mở /api/books?q=clean&amp;pageSize=2</t>
  </si>
  <si>
    <t xml:space="preserve">q=clean, pageSize=2</t>
  </si>
  <si>
    <t xml:space="preserve">200 JSON: items ≤ 2, totalItems = 3, totalPages = 2.</t>
  </si>
  <si>
    <t xml:space="preserve">GET /api/books?q=clean&amp;pageSize=2: 200, 2 mục, totalItems 3, totalPages 2.</t>
  </si>
  <si>
    <t xml:space="preserve">WEB-21</t>
  </si>
  <si>
    <t xml:space="preserve">API: giới hạn pageSize</t>
  </si>
  <si>
    <t xml:space="preserve">Mở /api/books?pageSize=500</t>
  </si>
  <si>
    <t xml:space="preserve">pageSize=500</t>
  </si>
  <si>
    <t xml:space="preserve">Trả về pageSize = 50 (bị giới hạn).</t>
  </si>
  <si>
    <t xml:space="preserve">pageSize=500 bị giới hạn còn 50.</t>
  </si>
  <si>
    <t xml:space="preserve">WEB-22</t>
  </si>
  <si>
    <t xml:space="preserve">API: chi tiết sách và 404</t>
  </si>
  <si>
    <t xml:space="preserve">Mở /api/books/1 và /api/books/9999</t>
  </si>
  <si>
    <t xml:space="preserve">id tồn tại và không tồn tại</t>
  </si>
  <si>
    <t xml:space="preserve">id=1: 200 kèm chi tiết; id=9999: 404 dạng ProblemDetails (JSON).</t>
  </si>
  <si>
    <t xml:space="preserve">Sách id 1 trả 200; id 9999 trả 404 (ProblemDetails).</t>
  </si>
  <si>
    <t xml:space="preserve">WEB-23</t>
  </si>
  <si>
    <t xml:space="preserve">API: thể loại</t>
  </si>
  <si>
    <t xml:space="preserve">Mở /api/categories</t>
  </si>
  <si>
    <t xml:space="preserve">200, danh sách 6 thể loại kèm số đầu sách.</t>
  </si>
  <si>
    <t xml:space="preserve">Trả 200 danh sách thể loại kèm số đầu sách.</t>
  </si>
  <si>
    <t xml:space="preserve">WEB-24</t>
  </si>
  <si>
    <t xml:space="preserve">API: yêu cầu xác thực</t>
  </si>
  <si>
    <t xml:space="preserve">Gọi /api/me/loans lần lượt khi chưa đăng nhập, bằng admin, bằng khách</t>
  </si>
  <si>
    <t xml:space="preserve">Chưa đăng nhập: 401 (không chuyển hướng trang đăng nhập); admin: 403; khách: 200 JSON.</t>
  </si>
  <si>
    <t xml:space="preserve">Chưa đăng nhập trả 401; đăng nhập Admin (sai vai trò) trả 403; không chuyển hướng.</t>
  </si>
  <si>
    <t xml:space="preserve">WEB-25</t>
  </si>
  <si>
    <t xml:space="preserve">API: gia hạn thiếu token CSRF</t>
  </si>
  <si>
    <t xml:space="preserve">Console trình duyệt: fetch('/api/me/loans/1/renew',{method:'POST'}).then(r=&gt;console.log(r.status))</t>
  </si>
  <si>
    <t xml:space="preserve">Không có header RequestVerificationToken</t>
  </si>
  <si>
    <t xml:space="preserve">Trả 400, không gia hạn.</t>
  </si>
  <si>
    <t xml:space="preserve">POST gia hạn không có token trả 400, không gia hạn.</t>
  </si>
  <si>
    <t xml:space="preserve">WEB-26</t>
  </si>
  <si>
    <t xml:space="preserve">API: không gia hạn sách của người khác</t>
  </si>
  <si>
    <t xml:space="preserve">Dùng token hợp lệ (từ trang /My/Loans) gọi renew với Id dòng mượn thuộc khách khác</t>
  </si>
  <si>
    <t xml:space="preserve">Id lấy từ SELECT Id, LoanId FROM LoanItems</t>
  </si>
  <si>
    <t xml:space="preserve">Trả 404, dữ liệu không đổi.</t>
  </si>
  <si>
    <t xml:space="preserve">Gia hạn dòng mượn của người khác trả 404.</t>
  </si>
  <si>
    <t xml:space="preserve">BM-01</t>
  </si>
  <si>
    <t xml:space="preserve">Bảo mật và quốc tế hóa</t>
  </si>
  <si>
    <t xml:space="preserve">Quốc tế hóa: chuyển sang tiếng Anh</t>
  </si>
  <si>
    <t xml:space="preserve">Bấm EN trên thanh menu; duyệt các trang công khai và /My</t>
  </si>
  <si>
    <t xml:space="preserve">Toàn bộ giao diện công khai và khu khách hàng chuyển tiếng Anh; ngày hiển thị dạng M/d/yyyy; cookie .AspNetCore.Culture = c=en|uic=en.</t>
  </si>
  <si>
    <t xml:space="preserve">Bấm EN: toàn bộ menu và tiêu đề sang tiếng Anh ('Find your next read', 'Browse books').</t>
  </si>
  <si>
    <t xml:space="preserve">BM-02</t>
  </si>
  <si>
    <t xml:space="preserve">Ngôn ngữ được ghi nhớ</t>
  </si>
  <si>
    <t xml:space="preserve">Chuyển EN, đóng và mở lại trình duyệt, vào /</t>
  </si>
  <si>
    <t xml:space="preserve">Giao diện vẫn là tiếng Anh (lưu trong cookie); bấm VI quay lại tiếng Việt.</t>
  </si>
  <si>
    <t xml:space="preserve">Ngôn ngữ giữ nguyên khi chuyển trang (Catalog, Pricing, My).</t>
  </si>
  <si>
    <t xml:space="preserve">BM-03</t>
  </si>
  <si>
    <t xml:space="preserve">Thông báo kiểm tra dữ liệu theo ngôn ngữ</t>
  </si>
  <si>
    <t xml:space="preserve">Ở chế độ EN, gửi form đăng ký để trống</t>
  </si>
  <si>
    <t xml:space="preserve">Thông báo lỗi bằng tiếng Anh (ví dụ "Please enter your email").</t>
  </si>
  <si>
    <t xml:space="preserve">Form đăng ký ở EN báo lỗi tiếng Anh: 'Please enter your full name', 'Invalid email address'...</t>
  </si>
  <si>
    <t xml:space="preserve">BM-04</t>
  </si>
  <si>
    <t xml:space="preserve">Thông báo từ server theo ngôn ngữ</t>
  </si>
  <si>
    <t xml:space="preserve">Ở chế độ EN, gia hạn bằng AJAX; thử gia hạn khi hết lượt</t>
  </si>
  <si>
    <t xml:space="preserve">Thông báo thành công và lỗi (từ API) hiển thị tiếng Anh.</t>
  </si>
  <si>
    <t xml:space="preserve">Lỗi đăng nhập và lỗi API ở EN bằng tiếng Anh: 'Incorrect email or password.', 'Maximum of 1 renewals reached.'</t>
  </si>
  <si>
    <t xml:space="preserve">BM-05</t>
  </si>
  <si>
    <t xml:space="preserve">Header bảo mật</t>
  </si>
  <si>
    <t xml:space="preserve">F12 &gt; Network &gt; chọn request trang &gt; Response Headers</t>
  </si>
  <si>
    <t xml:space="preserve">Có X-Content-Type-Options: nosniff, X-Frame-Options: DENY, Referrer-Policy, Content-Security-Policy.</t>
  </si>
  <si>
    <t xml:space="preserve">Có đủ 5 header: nosniff, X-Frame-Options, Referrer-Policy, Content-Security-Policy, Permissions-Policy.</t>
  </si>
  <si>
    <t xml:space="preserve">BM-06</t>
  </si>
  <si>
    <t xml:space="preserve">Cookie an toàn</t>
  </si>
  <si>
    <t xml:space="preserve">F12 &gt; Application &gt; Cookies sau khi đăng nhập</t>
  </si>
  <si>
    <t xml:space="preserve">.AspNetCore.Identity.Application và .Library.Session có HttpOnly và SameSite=Lax.</t>
  </si>
  <si>
    <t xml:space="preserve">Cookie đăng nhập và session là HttpOnly (JavaScript không đọc được). Chưa xác nhận cờ Secure và SameSite.</t>
  </si>
  <si>
    <t xml:space="preserve">Kiểm tra cờ Secure, SameSite trong F12 &gt; Application &gt; Cookies</t>
  </si>
  <si>
    <t xml:space="preserve">BM-07</t>
  </si>
  <si>
    <t xml:space="preserve">Chống XSS</t>
  </si>
  <si>
    <t xml:space="preserve">Admin tạo sách có tên &lt;b&gt;x&lt;/b&gt;&lt;script&gt;alert(1)&lt;/script&gt;; xem ở danh sách Admin, trang công khai và kết quả tìm kiếm AJAX</t>
  </si>
  <si>
    <t xml:space="preserve">Tên sách chứa thẻ HTML/script</t>
  </si>
  <si>
    <t xml:space="preserve">Tên hiển thị nguyên văn như chữ, không chạy script, không in đậm (cả trang server dựng và kết quả AJAX).</t>
  </si>
  <si>
    <t xml:space="preserve">Tiêu đề sách chứa thẻ script và img onerror được mã hóa trên mọi trang (chi tiết, danh sách, quản trị, trang chủ); không script nào chạy; catalog.js có hàm mã hóa.</t>
  </si>
  <si>
    <t xml:space="preserve">BM-08</t>
  </si>
  <si>
    <t xml:space="preserve">Chống SQL injection</t>
  </si>
  <si>
    <t xml:space="preserve">Nhập vào ô tìm kiếm: ' OR 1=1 --</t>
  </si>
  <si>
    <t xml:space="preserve">Chuỗi tấn công SQL</t>
  </si>
  <si>
    <t xml:space="preserve">Không lỗi, không lộ dữ liệu: 0 kết quả (truy vấn tham số hóa của Entity Framework).</t>
  </si>
  <si>
    <t xml:space="preserve">Chuỗi SQL injection trả 0 kết quả, không lỗi; bảng Books còn nguyên (23 đầu sách); đăng nhập email chứa SQL bị từ chối.</t>
  </si>
  <si>
    <t xml:space="preserve">BM-09</t>
  </si>
  <si>
    <t xml:space="preserve">Chống CSRF trên form</t>
  </si>
  <si>
    <t xml:space="preserve">Gửi POST tới /Wishlist/Add (hoặc form bất kỳ) mà không có token</t>
  </si>
  <si>
    <t xml:space="preserve">Không có __RequestVerificationToken</t>
  </si>
  <si>
    <t xml:space="preserve">Trả 400, không thực hiện.</t>
  </si>
  <si>
    <t xml:space="preserve">POST không có token (tạo tác giả, đăng nhập) đều trả 400.</t>
  </si>
  <si>
    <t xml:space="preserve">BM-10</t>
  </si>
  <si>
    <t xml:space="preserve">Không chuyển hướng ra ngoài site</t>
  </si>
  <si>
    <t xml:space="preserve">Mở /Identity/Account/Login?returnUrl=https://example.com rồi đăng nhập</t>
  </si>
  <si>
    <t xml:space="preserve">returnUrl ngoài site</t>
  </si>
  <si>
    <t xml:space="preserve">Sau đăng nhập vào /My hoặc /Admin theo role, không sang example.com.</t>
  </si>
  <si>
    <t xml:space="preserve">Đăng nhập với returnUrl ra ngoài site vẫn vào /My, không chuyển hướng ra ngoài.</t>
  </si>
  <si>
    <t xml:space="preserve">TỔNG HỢP KẾT QUẢ KIỂM THỬ</t>
  </si>
  <si>
    <t xml:space="preserve">Tự tính từ sheet "Test case" (cột Nhóm chức năng và cột Kết quả test). Không cần nhập tay.</t>
  </si>
  <si>
    <t xml:space="preserve">Tổng số</t>
  </si>
  <si>
    <t xml:space="preserve">Tỷ lệ Pass</t>
  </si>
  <si>
    <t xml:space="preserve">Tỷ lệ đã test</t>
  </si>
  <si>
    <t xml:space="preserve">TỔNG CỘNG</t>
  </si>
  <si>
    <t xml:space="preserve">Số test case ưu tiên Cao</t>
  </si>
  <si>
    <t xml:space="preserve">Số test case ưu tiên Cao đã Pass</t>
  </si>
</sst>
</file>

<file path=xl/styles.xml><?xml version="1.0" encoding="utf-8"?>
<styleSheet xmlns="http://schemas.openxmlformats.org/spreadsheetml/2006/main">
  <numFmts count="3">
    <numFmt numFmtId="164" formatCode="General"/>
    <numFmt numFmtId="165" formatCode="General"/>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b val="true"/>
      <sz val="10"/>
      <name val="Arial"/>
      <family val="0"/>
      <charset val="1"/>
    </font>
    <font>
      <sz val="10"/>
      <name val="Arial"/>
      <family val="0"/>
      <charset val="1"/>
    </font>
    <font>
      <sz val="10"/>
      <color rgb="FF0000FF"/>
      <name val="Arial"/>
      <family val="0"/>
      <charset val="1"/>
    </font>
    <font>
      <sz val="9"/>
      <name val="Courier New"/>
      <family val="0"/>
      <charset val="1"/>
    </font>
    <font>
      <i val="true"/>
      <sz val="9"/>
      <color rgb="FF555555"/>
      <name val="Arial"/>
      <family val="0"/>
      <charset val="1"/>
    </font>
    <font>
      <b val="true"/>
      <sz val="10"/>
      <color rgb="FFFFFFFF"/>
      <name val="Arial"/>
      <family val="0"/>
      <charset val="1"/>
    </font>
    <font>
      <b val="true"/>
      <sz val="11"/>
      <color rgb="FF1E7B34"/>
      <name val="Cambria"/>
      <family val="0"/>
      <charset val="1"/>
    </font>
    <font>
      <b val="true"/>
      <sz val="11"/>
      <color rgb="FFC0392B"/>
      <name val="Cambria"/>
      <family val="0"/>
      <charset val="1"/>
    </font>
    <font>
      <b val="true"/>
      <sz val="11"/>
      <color rgb="FF7F7F7F"/>
      <name val="Cambria"/>
      <family val="0"/>
      <charset val="1"/>
    </font>
  </fonts>
  <fills count="5">
    <fill>
      <patternFill patternType="none"/>
    </fill>
    <fill>
      <patternFill patternType="gray125"/>
    </fill>
    <fill>
      <patternFill patternType="solid">
        <fgColor rgb="FFFFF9C4"/>
        <bgColor rgb="FFFFFF99"/>
      </patternFill>
    </fill>
    <fill>
      <patternFill patternType="solid">
        <fgColor rgb="FF1F4E5F"/>
        <bgColor rgb="FF333333"/>
      </patternFill>
    </fill>
    <fill>
      <patternFill patternType="solid">
        <fgColor rgb="FFE8F1FB"/>
        <bgColor rgb="FFFFFFFF"/>
      </patternFill>
    </fill>
  </fills>
  <borders count="2">
    <border diagonalUp="false" diagonalDown="false">
      <left/>
      <right/>
      <top/>
      <bottom/>
      <diagonal/>
    </border>
    <border diagonalUp="false" diagonalDown="false">
      <left style="thin">
        <color rgb="FFB7C0C8"/>
      </left>
      <right style="thin">
        <color rgb="FFB7C0C8"/>
      </right>
      <top style="thin">
        <color rgb="FFB7C0C8"/>
      </top>
      <bottom style="thin">
        <color rgb="FFB7C0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top" textRotation="0" wrapText="false" indent="0" shrinkToFit="false"/>
      <protection locked="true" hidden="false"/>
    </xf>
    <xf numFmtId="164" fontId="13" fillId="2"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center" vertical="bottom" textRotation="0" wrapText="false" indent="0" shrinkToFit="false"/>
      <protection locked="true" hidden="false"/>
    </xf>
    <xf numFmtId="166" fontId="5" fillId="4"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FFF9C4"/>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7F7F7F"/>
          <bgColor rgb="FF000000"/>
        </patternFill>
      </fill>
    </dxf>
    <dxf>
      <fill>
        <patternFill patternType="solid">
          <fgColor rgb="FF9C0006"/>
          <bgColor rgb="FF000000"/>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1E7B34"/>
      <rgbColor rgb="FFB7C0C8"/>
      <rgbColor rgb="FF7F7F7F"/>
      <rgbColor rgb="FF9999FF"/>
      <rgbColor rgb="FF993366"/>
      <rgbColor rgb="FFFFF9C4"/>
      <rgbColor rgb="FFE8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55555"/>
      <rgbColor rgb="FF969696"/>
      <rgbColor rgb="FF1F4E5F"/>
      <rgbColor rgb="FF339966"/>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0"/>
  </cols>
  <sheetData>
    <row r="1" customFormat="false" ht="17.25" hidden="false" customHeight="true" outlineLevel="0" collapsed="false">
      <c r="A1" s="2" t="s">
        <v>0</v>
      </c>
    </row>
    <row r="3" customFormat="false" ht="43.5" hidden="false" customHeight="true" outlineLevel="0" collapsed="false">
      <c r="A3" s="3" t="s">
        <v>1</v>
      </c>
      <c r="B3" s="4" t="s">
        <v>2</v>
      </c>
    </row>
    <row r="4" customFormat="false" ht="43.5" hidden="false" customHeight="true" outlineLevel="0" collapsed="false">
      <c r="A4" s="5" t="s">
        <v>3</v>
      </c>
      <c r="B4" s="6" t="s">
        <v>4</v>
      </c>
    </row>
    <row r="5" customFormat="false" ht="43.5" hidden="false" customHeight="true" outlineLevel="0" collapsed="false">
      <c r="A5" s="3" t="s">
        <v>5</v>
      </c>
      <c r="B5" s="4" t="s">
        <v>6</v>
      </c>
    </row>
    <row r="7" customFormat="false" ht="15" hidden="false" customHeight="true" outlineLevel="0" collapsed="false">
      <c r="A7" s="7" t="s">
        <v>7</v>
      </c>
    </row>
    <row r="8" customFormat="false" ht="15" hidden="false" customHeight="true" outlineLevel="0" collapsed="false">
      <c r="A8" s="4" t="s">
        <v>8</v>
      </c>
      <c r="B8" s="4" t="s">
        <v>9</v>
      </c>
    </row>
    <row r="9" customFormat="false" ht="15" hidden="false" customHeight="true" outlineLevel="0" collapsed="false">
      <c r="A9" s="4" t="s">
        <v>10</v>
      </c>
      <c r="B9" s="8" t="s">
        <v>11</v>
      </c>
    </row>
    <row r="10" customFormat="false" ht="15" hidden="false" customHeight="true" outlineLevel="0" collapsed="false">
      <c r="A10" s="4" t="s">
        <v>12</v>
      </c>
      <c r="B10" s="8" t="s">
        <v>13</v>
      </c>
    </row>
    <row r="11" customFormat="false" ht="23.25" hidden="false" customHeight="true" outlineLevel="0" collapsed="false">
      <c r="A11" s="4" t="s">
        <v>14</v>
      </c>
      <c r="B11" s="8" t="s">
        <v>15</v>
      </c>
    </row>
    <row r="12" customFormat="false" ht="15" hidden="false" customHeight="true" outlineLevel="0" collapsed="false">
      <c r="A12" s="4" t="s">
        <v>16</v>
      </c>
      <c r="B12" s="8" t="s">
        <v>17</v>
      </c>
    </row>
    <row r="14" customFormat="false" ht="15" hidden="false" customHeight="true" outlineLevel="0" collapsed="false">
      <c r="A14" s="7" t="s">
        <v>18</v>
      </c>
    </row>
    <row r="15" customFormat="false" ht="31.5" hidden="false" customHeight="true" outlineLevel="0" collapsed="false">
      <c r="A15" s="4" t="s">
        <v>19</v>
      </c>
      <c r="B15" s="4" t="s">
        <v>20</v>
      </c>
    </row>
    <row r="16" customFormat="false" ht="45.75" hidden="false" customHeight="true" outlineLevel="0" collapsed="false">
      <c r="A16" s="4" t="s">
        <v>21</v>
      </c>
      <c r="B16" s="4" t="s">
        <v>22</v>
      </c>
    </row>
    <row r="17" customFormat="false" ht="45.75" hidden="false" customHeight="true" outlineLevel="0" collapsed="false">
      <c r="A17" s="4" t="s">
        <v>23</v>
      </c>
      <c r="B17" s="4" t="s">
        <v>24</v>
      </c>
    </row>
    <row r="18" customFormat="false" ht="45.75" hidden="false" customHeight="true" outlineLevel="0" collapsed="false">
      <c r="A18" s="4" t="s">
        <v>25</v>
      </c>
      <c r="B18" s="4" t="s">
        <v>26</v>
      </c>
    </row>
    <row r="19" customFormat="false" ht="31.5" hidden="false" customHeight="true" outlineLevel="0" collapsed="false">
      <c r="A19" s="4" t="s">
        <v>27</v>
      </c>
      <c r="B19" s="4" t="s">
        <v>28</v>
      </c>
    </row>
    <row r="20" customFormat="false" ht="45.75" hidden="false" customHeight="true" outlineLevel="0" collapsed="false">
      <c r="A20" s="4" t="s">
        <v>29</v>
      </c>
      <c r="B20" s="4" t="s">
        <v>30</v>
      </c>
    </row>
    <row r="22" customFormat="false" ht="15" hidden="false" customHeight="true" outlineLevel="0" collapsed="false">
      <c r="A22" s="7" t="s">
        <v>31</v>
      </c>
    </row>
    <row r="23" customFormat="false" ht="31.5" hidden="false" customHeight="true" outlineLevel="0" collapsed="false">
      <c r="A23" s="4" t="s">
        <v>32</v>
      </c>
      <c r="B23" s="9" t="s">
        <v>33</v>
      </c>
    </row>
    <row r="24" customFormat="false" ht="31.5" hidden="false" customHeight="true" outlineLevel="0" collapsed="false">
      <c r="A24" s="4" t="s">
        <v>34</v>
      </c>
      <c r="B24" s="9" t="s">
        <v>35</v>
      </c>
    </row>
    <row r="25" customFormat="false" ht="31.5" hidden="false" customHeight="true" outlineLevel="0" collapsed="false">
      <c r="A25" s="4" t="s">
        <v>36</v>
      </c>
      <c r="B25" s="9" t="s">
        <v>37</v>
      </c>
    </row>
    <row r="26" customFormat="false" ht="31.5" hidden="false" customHeight="true" outlineLevel="0" collapsed="false">
      <c r="A26" s="4" t="s">
        <v>38</v>
      </c>
      <c r="B26" s="9" t="s">
        <v>39</v>
      </c>
    </row>
    <row r="27" customFormat="false" ht="31.5" hidden="false" customHeight="true" outlineLevel="0" collapsed="false">
      <c r="A27" s="4" t="s">
        <v>40</v>
      </c>
      <c r="B27" s="9" t="s">
        <v>41</v>
      </c>
    </row>
    <row r="28" customFormat="false" ht="31.5" hidden="false" customHeight="true" outlineLevel="0" collapsed="false">
      <c r="A28" s="4" t="s">
        <v>42</v>
      </c>
      <c r="B28" s="9" t="s">
        <v>43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8"/>
    <col collapsed="false" customWidth="true" hidden="false" outlineLevel="0" max="3" min="3" style="1" width="30"/>
    <col collapsed="false" customWidth="true" hidden="false" outlineLevel="0" max="4" min="4" style="1" width="46"/>
    <col collapsed="false" customWidth="true" hidden="false" outlineLevel="0" max="5" min="5" style="1" width="34"/>
    <col collapsed="false" customWidth="true" hidden="false" outlineLevel="0" max="6" min="6" style="1" width="46"/>
    <col collapsed="false" customWidth="true" hidden="false" outlineLevel="0" max="7" min="7" style="1" width="32"/>
    <col collapsed="false" customWidth="true" hidden="false" outlineLevel="0" max="8" min="8" style="1" width="11"/>
    <col collapsed="false" customWidth="true" hidden="false" outlineLevel="0" max="9" min="9" style="1" width="34"/>
    <col collapsed="false" customWidth="true" hidden="false" outlineLevel="0" max="10" min="10" style="1" width="18"/>
    <col collapsed="false" customWidth="true" hidden="false" outlineLevel="0" max="11" min="11" style="1" width="10"/>
  </cols>
  <sheetData>
    <row r="1" customFormat="false" ht="17.25" hidden="false" customHeight="true" outlineLevel="0" collapsed="false">
      <c r="A1" s="2" t="s">
        <v>44</v>
      </c>
    </row>
    <row r="2" customFormat="false" ht="15" hidden="false" customHeight="true" outlineLevel="0" collapsed="false">
      <c r="A2" s="10" t="s">
        <v>45</v>
      </c>
    </row>
    <row r="4" customFormat="false" ht="31.5" hidden="false" customHeight="true" outlineLevel="0" collapsed="false">
      <c r="A4" s="11" t="s">
        <v>46</v>
      </c>
      <c r="B4" s="11" t="s">
        <v>47</v>
      </c>
      <c r="C4" s="11" t="s">
        <v>48</v>
      </c>
      <c r="D4" s="11" t="s">
        <v>49</v>
      </c>
      <c r="E4" s="11" t="s">
        <v>50</v>
      </c>
      <c r="F4" s="11" t="s">
        <v>51</v>
      </c>
      <c r="G4" s="11" t="s">
        <v>52</v>
      </c>
      <c r="H4" s="11" t="s">
        <v>53</v>
      </c>
      <c r="I4" s="11" t="s">
        <v>54</v>
      </c>
      <c r="J4" s="11" t="s">
        <v>55</v>
      </c>
      <c r="K4" s="11" t="s">
        <v>56</v>
      </c>
    </row>
    <row r="5" customFormat="false" ht="45" hidden="false" customHeight="true" outlineLevel="0" collapsed="false">
      <c r="A5" s="12" t="s">
        <v>57</v>
      </c>
      <c r="B5" s="13" t="s">
        <v>58</v>
      </c>
      <c r="C5" s="13" t="s">
        <v>59</v>
      </c>
      <c r="D5" s="13" t="s">
        <v>60</v>
      </c>
      <c r="E5" s="13" t="s">
        <v>20</v>
      </c>
      <c r="F5" s="13" t="s">
        <v>61</v>
      </c>
      <c r="G5" s="14" t="s">
        <v>62</v>
      </c>
      <c r="H5" s="15" t="s">
        <v>13</v>
      </c>
      <c r="I5" s="14"/>
      <c r="J5" s="14" t="s">
        <v>63</v>
      </c>
      <c r="K5" s="16" t="s">
        <v>64</v>
      </c>
    </row>
    <row r="6" customFormat="false" ht="30" hidden="false" customHeight="true" outlineLevel="0" collapsed="false">
      <c r="A6" s="12" t="s">
        <v>65</v>
      </c>
      <c r="B6" s="13" t="s">
        <v>58</v>
      </c>
      <c r="C6" s="13" t="s">
        <v>66</v>
      </c>
      <c r="D6" s="13" t="s">
        <v>67</v>
      </c>
      <c r="E6" s="13" t="s">
        <v>68</v>
      </c>
      <c r="F6" s="13" t="s">
        <v>69</v>
      </c>
      <c r="G6" s="14" t="s">
        <v>70</v>
      </c>
      <c r="H6" s="15" t="s">
        <v>13</v>
      </c>
      <c r="I6" s="14"/>
      <c r="J6" s="14" t="s">
        <v>63</v>
      </c>
      <c r="K6" s="16" t="s">
        <v>64</v>
      </c>
    </row>
    <row r="7" customFormat="false" ht="32.25" hidden="false" customHeight="true" outlineLevel="0" collapsed="false">
      <c r="A7" s="12" t="s">
        <v>71</v>
      </c>
      <c r="B7" s="13" t="s">
        <v>58</v>
      </c>
      <c r="C7" s="13" t="s">
        <v>72</v>
      </c>
      <c r="D7" s="13" t="s">
        <v>73</v>
      </c>
      <c r="E7" s="13" t="s">
        <v>74</v>
      </c>
      <c r="F7" s="13" t="s">
        <v>75</v>
      </c>
      <c r="G7" s="14" t="s">
        <v>76</v>
      </c>
      <c r="H7" s="15" t="s">
        <v>13</v>
      </c>
      <c r="I7" s="14"/>
      <c r="J7" s="14" t="s">
        <v>63</v>
      </c>
      <c r="K7" s="16" t="s">
        <v>64</v>
      </c>
    </row>
    <row r="8" customFormat="false" ht="32.25" hidden="false" customHeight="true" outlineLevel="0" collapsed="false">
      <c r="A8" s="12" t="s">
        <v>77</v>
      </c>
      <c r="B8" s="13" t="s">
        <v>58</v>
      </c>
      <c r="C8" s="13" t="s">
        <v>78</v>
      </c>
      <c r="D8" s="13" t="s">
        <v>79</v>
      </c>
      <c r="E8" s="13" t="s">
        <v>80</v>
      </c>
      <c r="F8" s="13" t="s">
        <v>81</v>
      </c>
      <c r="G8" s="14" t="s">
        <v>82</v>
      </c>
      <c r="H8" s="15" t="s">
        <v>13</v>
      </c>
      <c r="I8" s="14"/>
      <c r="J8" s="14" t="s">
        <v>63</v>
      </c>
      <c r="K8" s="16" t="s">
        <v>83</v>
      </c>
    </row>
    <row r="9" customFormat="false" ht="72" hidden="false" customHeight="true" outlineLevel="0" collapsed="false">
      <c r="A9" s="12" t="s">
        <v>84</v>
      </c>
      <c r="B9" s="13" t="s">
        <v>58</v>
      </c>
      <c r="C9" s="13" t="s">
        <v>85</v>
      </c>
      <c r="D9" s="13" t="s">
        <v>86</v>
      </c>
      <c r="E9" s="13" t="s">
        <v>87</v>
      </c>
      <c r="F9" s="13" t="s">
        <v>88</v>
      </c>
      <c r="G9" s="14" t="s">
        <v>89</v>
      </c>
      <c r="H9" s="15" t="s">
        <v>13</v>
      </c>
      <c r="I9" s="14"/>
      <c r="J9" s="14" t="s">
        <v>63</v>
      </c>
      <c r="K9" s="16" t="s">
        <v>64</v>
      </c>
    </row>
    <row r="10" customFormat="false" ht="58.5" hidden="false" customHeight="true" outlineLevel="0" collapsed="false">
      <c r="A10" s="12" t="s">
        <v>90</v>
      </c>
      <c r="B10" s="13" t="s">
        <v>58</v>
      </c>
      <c r="C10" s="13" t="s">
        <v>91</v>
      </c>
      <c r="D10" s="13" t="s">
        <v>92</v>
      </c>
      <c r="E10" s="13" t="s">
        <v>68</v>
      </c>
      <c r="F10" s="13" t="s">
        <v>93</v>
      </c>
      <c r="G10" s="14" t="s">
        <v>94</v>
      </c>
      <c r="H10" s="15" t="s">
        <v>13</v>
      </c>
      <c r="I10" s="14"/>
      <c r="J10" s="14" t="s">
        <v>95</v>
      </c>
      <c r="K10" s="16" t="s">
        <v>83</v>
      </c>
    </row>
    <row r="11" customFormat="false" ht="30" hidden="false" customHeight="true" outlineLevel="0" collapsed="false">
      <c r="A11" s="12" t="s">
        <v>96</v>
      </c>
      <c r="B11" s="13" t="s">
        <v>58</v>
      </c>
      <c r="C11" s="13" t="s">
        <v>97</v>
      </c>
      <c r="D11" s="13" t="s">
        <v>98</v>
      </c>
      <c r="E11" s="13" t="s">
        <v>99</v>
      </c>
      <c r="F11" s="13" t="s">
        <v>100</v>
      </c>
      <c r="G11" s="14" t="s">
        <v>101</v>
      </c>
      <c r="H11" s="15" t="s">
        <v>13</v>
      </c>
      <c r="I11" s="14"/>
      <c r="J11" s="14" t="s">
        <v>63</v>
      </c>
      <c r="K11" s="16" t="s">
        <v>64</v>
      </c>
    </row>
    <row r="12" customFormat="false" ht="32.25" hidden="false" customHeight="true" outlineLevel="0" collapsed="false">
      <c r="A12" s="12" t="s">
        <v>102</v>
      </c>
      <c r="B12" s="13" t="s">
        <v>58</v>
      </c>
      <c r="C12" s="13" t="s">
        <v>103</v>
      </c>
      <c r="D12" s="13" t="s">
        <v>104</v>
      </c>
      <c r="E12" s="13" t="s">
        <v>99</v>
      </c>
      <c r="F12" s="13" t="s">
        <v>105</v>
      </c>
      <c r="G12" s="14" t="s">
        <v>106</v>
      </c>
      <c r="H12" s="15" t="s">
        <v>13</v>
      </c>
      <c r="I12" s="14"/>
      <c r="J12" s="14" t="s">
        <v>63</v>
      </c>
      <c r="K12" s="16" t="s">
        <v>64</v>
      </c>
    </row>
    <row r="13" customFormat="false" ht="32.25" hidden="false" customHeight="true" outlineLevel="0" collapsed="false">
      <c r="A13" s="12" t="s">
        <v>107</v>
      </c>
      <c r="B13" s="13" t="s">
        <v>58</v>
      </c>
      <c r="C13" s="13" t="s">
        <v>108</v>
      </c>
      <c r="D13" s="13" t="s">
        <v>109</v>
      </c>
      <c r="E13" s="13" t="s">
        <v>110</v>
      </c>
      <c r="F13" s="13" t="s">
        <v>111</v>
      </c>
      <c r="G13" s="14" t="s">
        <v>112</v>
      </c>
      <c r="H13" s="15" t="s">
        <v>13</v>
      </c>
      <c r="I13" s="14" t="s">
        <v>113</v>
      </c>
      <c r="J13" s="14" t="s">
        <v>63</v>
      </c>
      <c r="K13" s="16" t="s">
        <v>64</v>
      </c>
    </row>
    <row r="14" customFormat="false" ht="32.25" hidden="false" customHeight="true" outlineLevel="0" collapsed="false">
      <c r="A14" s="12" t="s">
        <v>114</v>
      </c>
      <c r="B14" s="13" t="s">
        <v>58</v>
      </c>
      <c r="C14" s="13" t="s">
        <v>115</v>
      </c>
      <c r="D14" s="13" t="s">
        <v>116</v>
      </c>
      <c r="E14" s="13" t="s">
        <v>117</v>
      </c>
      <c r="F14" s="13" t="s">
        <v>118</v>
      </c>
      <c r="G14" s="14" t="s">
        <v>119</v>
      </c>
      <c r="H14" s="15" t="s">
        <v>13</v>
      </c>
      <c r="I14" s="14" t="s">
        <v>113</v>
      </c>
      <c r="J14" s="14" t="s">
        <v>63</v>
      </c>
      <c r="K14" s="16" t="s">
        <v>83</v>
      </c>
    </row>
    <row r="15" customFormat="false" ht="45" hidden="false" customHeight="true" outlineLevel="0" collapsed="false">
      <c r="A15" s="12" t="s">
        <v>120</v>
      </c>
      <c r="B15" s="13" t="s">
        <v>58</v>
      </c>
      <c r="C15" s="13" t="s">
        <v>121</v>
      </c>
      <c r="D15" s="13" t="s">
        <v>122</v>
      </c>
      <c r="E15" s="13" t="s">
        <v>123</v>
      </c>
      <c r="F15" s="13" t="s">
        <v>124</v>
      </c>
      <c r="G15" s="14" t="s">
        <v>125</v>
      </c>
      <c r="H15" s="15" t="s">
        <v>13</v>
      </c>
      <c r="I15" s="14"/>
      <c r="J15" s="14" t="s">
        <v>63</v>
      </c>
      <c r="K15" s="16" t="s">
        <v>64</v>
      </c>
    </row>
    <row r="16" customFormat="false" ht="32.25" hidden="false" customHeight="true" outlineLevel="0" collapsed="false">
      <c r="A16" s="12" t="s">
        <v>126</v>
      </c>
      <c r="B16" s="13" t="s">
        <v>58</v>
      </c>
      <c r="C16" s="13" t="s">
        <v>127</v>
      </c>
      <c r="D16" s="13" t="s">
        <v>128</v>
      </c>
      <c r="E16" s="13" t="s">
        <v>129</v>
      </c>
      <c r="F16" s="13" t="s">
        <v>130</v>
      </c>
      <c r="G16" s="14" t="s">
        <v>131</v>
      </c>
      <c r="H16" s="15" t="s">
        <v>13</v>
      </c>
      <c r="I16" s="14"/>
      <c r="J16" s="14" t="s">
        <v>63</v>
      </c>
      <c r="K16" s="16" t="s">
        <v>64</v>
      </c>
    </row>
    <row r="17" customFormat="false" ht="45" hidden="false" customHeight="true" outlineLevel="0" collapsed="false">
      <c r="A17" s="12" t="s">
        <v>132</v>
      </c>
      <c r="B17" s="13" t="s">
        <v>58</v>
      </c>
      <c r="C17" s="13" t="s">
        <v>133</v>
      </c>
      <c r="D17" s="13" t="s">
        <v>134</v>
      </c>
      <c r="E17" s="13" t="s">
        <v>135</v>
      </c>
      <c r="F17" s="13" t="s">
        <v>136</v>
      </c>
      <c r="G17" s="14" t="s">
        <v>137</v>
      </c>
      <c r="H17" s="15" t="s">
        <v>13</v>
      </c>
      <c r="I17" s="14"/>
      <c r="J17" s="14" t="s">
        <v>63</v>
      </c>
      <c r="K17" s="16" t="s">
        <v>64</v>
      </c>
    </row>
    <row r="18" customFormat="false" ht="30" hidden="false" customHeight="true" outlineLevel="0" collapsed="false">
      <c r="A18" s="12" t="s">
        <v>138</v>
      </c>
      <c r="B18" s="13" t="s">
        <v>58</v>
      </c>
      <c r="C18" s="13" t="s">
        <v>139</v>
      </c>
      <c r="D18" s="13" t="s">
        <v>140</v>
      </c>
      <c r="E18" s="13" t="s">
        <v>141</v>
      </c>
      <c r="F18" s="13" t="s">
        <v>142</v>
      </c>
      <c r="G18" s="14" t="s">
        <v>143</v>
      </c>
      <c r="H18" s="15" t="s">
        <v>13</v>
      </c>
      <c r="I18" s="14"/>
      <c r="J18" s="14" t="s">
        <v>63</v>
      </c>
      <c r="K18" s="16" t="s">
        <v>83</v>
      </c>
    </row>
    <row r="19" customFormat="false" ht="32.25" hidden="false" customHeight="true" outlineLevel="0" collapsed="false">
      <c r="A19" s="12" t="s">
        <v>144</v>
      </c>
      <c r="B19" s="13" t="s">
        <v>58</v>
      </c>
      <c r="C19" s="13" t="s">
        <v>145</v>
      </c>
      <c r="D19" s="13" t="s">
        <v>146</v>
      </c>
      <c r="E19" s="13" t="s">
        <v>147</v>
      </c>
      <c r="F19" s="13" t="s">
        <v>148</v>
      </c>
      <c r="G19" s="14" t="s">
        <v>149</v>
      </c>
      <c r="H19" s="15" t="s">
        <v>13</v>
      </c>
      <c r="I19" s="14"/>
      <c r="J19" s="14" t="s">
        <v>63</v>
      </c>
      <c r="K19" s="16" t="s">
        <v>83</v>
      </c>
    </row>
    <row r="20" customFormat="false" ht="32.25" hidden="false" customHeight="true" outlineLevel="0" collapsed="false">
      <c r="A20" s="12" t="s">
        <v>150</v>
      </c>
      <c r="B20" s="13" t="s">
        <v>58</v>
      </c>
      <c r="C20" s="13" t="s">
        <v>151</v>
      </c>
      <c r="D20" s="13" t="s">
        <v>152</v>
      </c>
      <c r="E20" s="13" t="s">
        <v>110</v>
      </c>
      <c r="F20" s="13" t="s">
        <v>153</v>
      </c>
      <c r="G20" s="14" t="s">
        <v>154</v>
      </c>
      <c r="H20" s="17" t="s">
        <v>155</v>
      </c>
      <c r="I20" s="14" t="s">
        <v>156</v>
      </c>
      <c r="J20" s="14" t="s">
        <v>63</v>
      </c>
      <c r="K20" s="16" t="s">
        <v>83</v>
      </c>
    </row>
    <row r="21" customFormat="false" ht="32.25" hidden="false" customHeight="true" outlineLevel="0" collapsed="false">
      <c r="A21" s="12" t="s">
        <v>157</v>
      </c>
      <c r="B21" s="13" t="s">
        <v>58</v>
      </c>
      <c r="C21" s="13" t="s">
        <v>158</v>
      </c>
      <c r="D21" s="13" t="s">
        <v>159</v>
      </c>
      <c r="E21" s="13" t="s">
        <v>160</v>
      </c>
      <c r="F21" s="13" t="s">
        <v>161</v>
      </c>
      <c r="G21" s="14" t="s">
        <v>162</v>
      </c>
      <c r="H21" s="15" t="s">
        <v>13</v>
      </c>
      <c r="I21" s="14"/>
      <c r="J21" s="14" t="s">
        <v>63</v>
      </c>
      <c r="K21" s="16" t="s">
        <v>83</v>
      </c>
    </row>
    <row r="22" customFormat="false" ht="32.25" hidden="false" customHeight="true" outlineLevel="0" collapsed="false">
      <c r="A22" s="12" t="s">
        <v>163</v>
      </c>
      <c r="B22" s="13" t="s">
        <v>164</v>
      </c>
      <c r="C22" s="13" t="s">
        <v>165</v>
      </c>
      <c r="D22" s="13" t="s">
        <v>166</v>
      </c>
      <c r="E22" s="13" t="s">
        <v>167</v>
      </c>
      <c r="F22" s="13" t="s">
        <v>168</v>
      </c>
      <c r="G22" s="14" t="s">
        <v>169</v>
      </c>
      <c r="H22" s="15" t="s">
        <v>13</v>
      </c>
      <c r="I22" s="14"/>
      <c r="J22" s="14" t="s">
        <v>63</v>
      </c>
      <c r="K22" s="16" t="s">
        <v>64</v>
      </c>
    </row>
    <row r="23" customFormat="false" ht="30" hidden="false" customHeight="true" outlineLevel="0" collapsed="false">
      <c r="A23" s="12" t="s">
        <v>170</v>
      </c>
      <c r="B23" s="13" t="s">
        <v>164</v>
      </c>
      <c r="C23" s="13" t="s">
        <v>171</v>
      </c>
      <c r="D23" s="13" t="s">
        <v>172</v>
      </c>
      <c r="E23" s="13" t="s">
        <v>173</v>
      </c>
      <c r="F23" s="13" t="s">
        <v>174</v>
      </c>
      <c r="G23" s="14" t="s">
        <v>175</v>
      </c>
      <c r="H23" s="15" t="s">
        <v>13</v>
      </c>
      <c r="I23" s="14"/>
      <c r="J23" s="14" t="s">
        <v>63</v>
      </c>
      <c r="K23" s="16" t="s">
        <v>83</v>
      </c>
    </row>
    <row r="24" customFormat="false" ht="30" hidden="false" customHeight="true" outlineLevel="0" collapsed="false">
      <c r="A24" s="12" t="s">
        <v>176</v>
      </c>
      <c r="B24" s="13" t="s">
        <v>164</v>
      </c>
      <c r="C24" s="13" t="s">
        <v>177</v>
      </c>
      <c r="D24" s="13" t="s">
        <v>178</v>
      </c>
      <c r="E24" s="13" t="s">
        <v>179</v>
      </c>
      <c r="F24" s="13" t="s">
        <v>180</v>
      </c>
      <c r="G24" s="14" t="s">
        <v>181</v>
      </c>
      <c r="H24" s="15" t="s">
        <v>13</v>
      </c>
      <c r="I24" s="14"/>
      <c r="J24" s="14" t="s">
        <v>182</v>
      </c>
      <c r="K24" s="16" t="s">
        <v>64</v>
      </c>
    </row>
    <row r="25" customFormat="false" ht="30" hidden="false" customHeight="true" outlineLevel="0" collapsed="false">
      <c r="A25" s="12" t="s">
        <v>183</v>
      </c>
      <c r="B25" s="13" t="s">
        <v>164</v>
      </c>
      <c r="C25" s="13" t="s">
        <v>184</v>
      </c>
      <c r="D25" s="13" t="s">
        <v>185</v>
      </c>
      <c r="E25" s="13" t="s">
        <v>186</v>
      </c>
      <c r="F25" s="13" t="s">
        <v>187</v>
      </c>
      <c r="G25" s="14" t="s">
        <v>188</v>
      </c>
      <c r="H25" s="15" t="s">
        <v>13</v>
      </c>
      <c r="I25" s="14"/>
      <c r="J25" s="14" t="s">
        <v>63</v>
      </c>
      <c r="K25" s="16" t="s">
        <v>64</v>
      </c>
    </row>
    <row r="26" customFormat="false" ht="45" hidden="false" customHeight="true" outlineLevel="0" collapsed="false">
      <c r="A26" s="12" t="s">
        <v>189</v>
      </c>
      <c r="B26" s="13" t="s">
        <v>164</v>
      </c>
      <c r="C26" s="13" t="s">
        <v>190</v>
      </c>
      <c r="D26" s="13" t="s">
        <v>191</v>
      </c>
      <c r="E26" s="13" t="s">
        <v>192</v>
      </c>
      <c r="F26" s="13" t="s">
        <v>193</v>
      </c>
      <c r="G26" s="14" t="s">
        <v>194</v>
      </c>
      <c r="H26" s="15" t="s">
        <v>13</v>
      </c>
      <c r="I26" s="14"/>
      <c r="J26" s="14" t="s">
        <v>63</v>
      </c>
      <c r="K26" s="16" t="s">
        <v>64</v>
      </c>
    </row>
    <row r="27" customFormat="false" ht="32.25" hidden="false" customHeight="true" outlineLevel="0" collapsed="false">
      <c r="A27" s="12" t="s">
        <v>195</v>
      </c>
      <c r="B27" s="13" t="s">
        <v>164</v>
      </c>
      <c r="C27" s="13" t="s">
        <v>196</v>
      </c>
      <c r="D27" s="13" t="s">
        <v>197</v>
      </c>
      <c r="E27" s="13" t="s">
        <v>198</v>
      </c>
      <c r="F27" s="13" t="s">
        <v>199</v>
      </c>
      <c r="G27" s="14" t="s">
        <v>200</v>
      </c>
      <c r="H27" s="15" t="s">
        <v>13</v>
      </c>
      <c r="I27" s="14"/>
      <c r="J27" s="14" t="s">
        <v>63</v>
      </c>
      <c r="K27" s="16" t="s">
        <v>64</v>
      </c>
    </row>
    <row r="28" customFormat="false" ht="32.25" hidden="false" customHeight="true" outlineLevel="0" collapsed="false">
      <c r="A28" s="12" t="s">
        <v>201</v>
      </c>
      <c r="B28" s="13" t="s">
        <v>164</v>
      </c>
      <c r="C28" s="13" t="s">
        <v>202</v>
      </c>
      <c r="D28" s="13" t="s">
        <v>203</v>
      </c>
      <c r="E28" s="13" t="s">
        <v>204</v>
      </c>
      <c r="F28" s="13" t="s">
        <v>205</v>
      </c>
      <c r="G28" s="14" t="s">
        <v>206</v>
      </c>
      <c r="H28" s="15" t="s">
        <v>13</v>
      </c>
      <c r="I28" s="14"/>
      <c r="J28" s="14" t="s">
        <v>63</v>
      </c>
      <c r="K28" s="16" t="s">
        <v>83</v>
      </c>
    </row>
    <row r="29" customFormat="false" ht="30" hidden="false" customHeight="true" outlineLevel="0" collapsed="false">
      <c r="A29" s="12" t="s">
        <v>207</v>
      </c>
      <c r="B29" s="13" t="s">
        <v>164</v>
      </c>
      <c r="C29" s="13" t="s">
        <v>208</v>
      </c>
      <c r="D29" s="13" t="s">
        <v>209</v>
      </c>
      <c r="E29" s="13" t="s">
        <v>210</v>
      </c>
      <c r="F29" s="13" t="s">
        <v>211</v>
      </c>
      <c r="G29" s="14" t="s">
        <v>212</v>
      </c>
      <c r="H29" s="15" t="s">
        <v>13</v>
      </c>
      <c r="I29" s="14"/>
      <c r="J29" s="14" t="s">
        <v>63</v>
      </c>
      <c r="K29" s="16" t="s">
        <v>64</v>
      </c>
    </row>
    <row r="30" customFormat="false" ht="30" hidden="false" customHeight="true" outlineLevel="0" collapsed="false">
      <c r="A30" s="12" t="s">
        <v>213</v>
      </c>
      <c r="B30" s="13" t="s">
        <v>164</v>
      </c>
      <c r="C30" s="13" t="s">
        <v>214</v>
      </c>
      <c r="D30" s="13" t="s">
        <v>215</v>
      </c>
      <c r="E30" s="13" t="s">
        <v>216</v>
      </c>
      <c r="F30" s="13" t="s">
        <v>217</v>
      </c>
      <c r="G30" s="14" t="s">
        <v>218</v>
      </c>
      <c r="H30" s="15" t="s">
        <v>13</v>
      </c>
      <c r="I30" s="14"/>
      <c r="J30" s="14" t="s">
        <v>63</v>
      </c>
      <c r="K30" s="16" t="s">
        <v>64</v>
      </c>
    </row>
    <row r="31" customFormat="false" ht="32.25" hidden="false" customHeight="true" outlineLevel="0" collapsed="false">
      <c r="A31" s="12" t="s">
        <v>219</v>
      </c>
      <c r="B31" s="13" t="s">
        <v>164</v>
      </c>
      <c r="C31" s="13" t="s">
        <v>220</v>
      </c>
      <c r="D31" s="13" t="s">
        <v>221</v>
      </c>
      <c r="E31" s="13" t="s">
        <v>222</v>
      </c>
      <c r="F31" s="13" t="s">
        <v>223</v>
      </c>
      <c r="G31" s="14" t="s">
        <v>224</v>
      </c>
      <c r="H31" s="15" t="s">
        <v>13</v>
      </c>
      <c r="I31" s="14"/>
      <c r="J31" s="14" t="s">
        <v>225</v>
      </c>
      <c r="K31" s="16" t="s">
        <v>64</v>
      </c>
    </row>
    <row r="32" customFormat="false" ht="32.25" hidden="false" customHeight="true" outlineLevel="0" collapsed="false">
      <c r="A32" s="12" t="s">
        <v>226</v>
      </c>
      <c r="B32" s="13" t="s">
        <v>164</v>
      </c>
      <c r="C32" s="13" t="s">
        <v>227</v>
      </c>
      <c r="D32" s="13" t="s">
        <v>228</v>
      </c>
      <c r="E32" s="13" t="s">
        <v>229</v>
      </c>
      <c r="F32" s="13" t="s">
        <v>230</v>
      </c>
      <c r="G32" s="14" t="s">
        <v>231</v>
      </c>
      <c r="H32" s="15" t="s">
        <v>13</v>
      </c>
      <c r="I32" s="14"/>
      <c r="J32" s="14" t="s">
        <v>63</v>
      </c>
      <c r="K32" s="16" t="s">
        <v>64</v>
      </c>
    </row>
    <row r="33" customFormat="false" ht="32.25" hidden="false" customHeight="true" outlineLevel="0" collapsed="false">
      <c r="A33" s="12" t="s">
        <v>232</v>
      </c>
      <c r="B33" s="13" t="s">
        <v>164</v>
      </c>
      <c r="C33" s="13" t="s">
        <v>233</v>
      </c>
      <c r="D33" s="13" t="s">
        <v>234</v>
      </c>
      <c r="E33" s="13" t="s">
        <v>235</v>
      </c>
      <c r="F33" s="13" t="s">
        <v>236</v>
      </c>
      <c r="G33" s="14" t="s">
        <v>237</v>
      </c>
      <c r="H33" s="15" t="s">
        <v>13</v>
      </c>
      <c r="I33" s="14"/>
      <c r="J33" s="14" t="s">
        <v>63</v>
      </c>
      <c r="K33" s="16" t="s">
        <v>83</v>
      </c>
    </row>
    <row r="34" customFormat="false" ht="32.25" hidden="false" customHeight="true" outlineLevel="0" collapsed="false">
      <c r="A34" s="12" t="s">
        <v>238</v>
      </c>
      <c r="B34" s="13" t="s">
        <v>164</v>
      </c>
      <c r="C34" s="13" t="s">
        <v>239</v>
      </c>
      <c r="D34" s="13" t="s">
        <v>240</v>
      </c>
      <c r="E34" s="13" t="s">
        <v>241</v>
      </c>
      <c r="F34" s="13" t="s">
        <v>242</v>
      </c>
      <c r="G34" s="14" t="s">
        <v>243</v>
      </c>
      <c r="H34" s="15" t="s">
        <v>13</v>
      </c>
      <c r="I34" s="14" t="s">
        <v>244</v>
      </c>
      <c r="J34" s="14" t="s">
        <v>63</v>
      </c>
      <c r="K34" s="16" t="s">
        <v>83</v>
      </c>
    </row>
    <row r="35" customFormat="false" ht="32.25" hidden="false" customHeight="true" outlineLevel="0" collapsed="false">
      <c r="A35" s="12" t="s">
        <v>245</v>
      </c>
      <c r="B35" s="13" t="s">
        <v>164</v>
      </c>
      <c r="C35" s="13" t="s">
        <v>246</v>
      </c>
      <c r="D35" s="13" t="s">
        <v>247</v>
      </c>
      <c r="E35" s="13" t="s">
        <v>25</v>
      </c>
      <c r="F35" s="13" t="s">
        <v>248</v>
      </c>
      <c r="G35" s="14" t="s">
        <v>249</v>
      </c>
      <c r="H35" s="18" t="s">
        <v>250</v>
      </c>
      <c r="I35" s="14"/>
      <c r="J35" s="14" t="s">
        <v>251</v>
      </c>
      <c r="K35" s="16" t="s">
        <v>83</v>
      </c>
    </row>
    <row r="36" customFormat="false" ht="45" hidden="false" customHeight="true" outlineLevel="0" collapsed="false">
      <c r="A36" s="12" t="s">
        <v>252</v>
      </c>
      <c r="B36" s="13" t="s">
        <v>164</v>
      </c>
      <c r="C36" s="13" t="s">
        <v>253</v>
      </c>
      <c r="D36" s="13" t="s">
        <v>254</v>
      </c>
      <c r="E36" s="13" t="s">
        <v>255</v>
      </c>
      <c r="F36" s="13" t="s">
        <v>256</v>
      </c>
      <c r="G36" s="14" t="s">
        <v>257</v>
      </c>
      <c r="H36" s="15" t="s">
        <v>13</v>
      </c>
      <c r="I36" s="14"/>
      <c r="J36" s="14" t="s">
        <v>63</v>
      </c>
      <c r="K36" s="16" t="s">
        <v>64</v>
      </c>
    </row>
    <row r="37" customFormat="false" ht="45" hidden="false" customHeight="true" outlineLevel="0" collapsed="false">
      <c r="A37" s="12" t="s">
        <v>258</v>
      </c>
      <c r="B37" s="13" t="s">
        <v>259</v>
      </c>
      <c r="C37" s="13" t="s">
        <v>260</v>
      </c>
      <c r="D37" s="13" t="s">
        <v>261</v>
      </c>
      <c r="E37" s="13" t="s">
        <v>262</v>
      </c>
      <c r="F37" s="13" t="s">
        <v>263</v>
      </c>
      <c r="G37" s="14" t="s">
        <v>264</v>
      </c>
      <c r="H37" s="15" t="s">
        <v>13</v>
      </c>
      <c r="I37" s="14"/>
      <c r="J37" s="14" t="s">
        <v>63</v>
      </c>
      <c r="K37" s="16" t="s">
        <v>64</v>
      </c>
    </row>
    <row r="38" customFormat="false" ht="30" hidden="false" customHeight="true" outlineLevel="0" collapsed="false">
      <c r="A38" s="12" t="s">
        <v>265</v>
      </c>
      <c r="B38" s="13" t="s">
        <v>259</v>
      </c>
      <c r="C38" s="13" t="s">
        <v>266</v>
      </c>
      <c r="D38" s="13" t="s">
        <v>267</v>
      </c>
      <c r="E38" s="13" t="s">
        <v>268</v>
      </c>
      <c r="F38" s="13" t="s">
        <v>269</v>
      </c>
      <c r="G38" s="14" t="s">
        <v>270</v>
      </c>
      <c r="H38" s="15" t="s">
        <v>13</v>
      </c>
      <c r="I38" s="14" t="s">
        <v>271</v>
      </c>
      <c r="J38" s="14" t="s">
        <v>63</v>
      </c>
      <c r="K38" s="16" t="s">
        <v>83</v>
      </c>
    </row>
    <row r="39" customFormat="false" ht="30" hidden="false" customHeight="true" outlineLevel="0" collapsed="false">
      <c r="A39" s="12" t="s">
        <v>272</v>
      </c>
      <c r="B39" s="13" t="s">
        <v>259</v>
      </c>
      <c r="C39" s="13" t="s">
        <v>273</v>
      </c>
      <c r="D39" s="13" t="s">
        <v>274</v>
      </c>
      <c r="E39" s="13" t="s">
        <v>275</v>
      </c>
      <c r="F39" s="13" t="s">
        <v>276</v>
      </c>
      <c r="G39" s="14" t="s">
        <v>249</v>
      </c>
      <c r="H39" s="18" t="s">
        <v>250</v>
      </c>
      <c r="I39" s="14"/>
      <c r="J39" s="14" t="s">
        <v>251</v>
      </c>
      <c r="K39" s="16" t="s">
        <v>83</v>
      </c>
    </row>
    <row r="40" customFormat="false" ht="32.25" hidden="false" customHeight="true" outlineLevel="0" collapsed="false">
      <c r="A40" s="12" t="s">
        <v>277</v>
      </c>
      <c r="B40" s="13" t="s">
        <v>259</v>
      </c>
      <c r="C40" s="13" t="s">
        <v>278</v>
      </c>
      <c r="D40" s="13" t="s">
        <v>279</v>
      </c>
      <c r="E40" s="13" t="s">
        <v>280</v>
      </c>
      <c r="F40" s="13" t="s">
        <v>281</v>
      </c>
      <c r="G40" s="14" t="s">
        <v>282</v>
      </c>
      <c r="H40" s="15" t="s">
        <v>13</v>
      </c>
      <c r="I40" s="14"/>
      <c r="J40" s="14" t="s">
        <v>63</v>
      </c>
      <c r="K40" s="16" t="s">
        <v>64</v>
      </c>
    </row>
    <row r="41" customFormat="false" ht="30" hidden="false" customHeight="true" outlineLevel="0" collapsed="false">
      <c r="A41" s="12" t="s">
        <v>283</v>
      </c>
      <c r="B41" s="13" t="s">
        <v>259</v>
      </c>
      <c r="C41" s="13" t="s">
        <v>284</v>
      </c>
      <c r="D41" s="13" t="s">
        <v>285</v>
      </c>
      <c r="E41" s="13" t="s">
        <v>286</v>
      </c>
      <c r="F41" s="13" t="s">
        <v>287</v>
      </c>
      <c r="G41" s="14" t="s">
        <v>288</v>
      </c>
      <c r="H41" s="15" t="s">
        <v>13</v>
      </c>
      <c r="I41" s="14"/>
      <c r="J41" s="14" t="s">
        <v>63</v>
      </c>
      <c r="K41" s="16" t="s">
        <v>83</v>
      </c>
    </row>
    <row r="42" customFormat="false" ht="30" hidden="false" customHeight="true" outlineLevel="0" collapsed="false">
      <c r="A42" s="12" t="s">
        <v>289</v>
      </c>
      <c r="B42" s="13" t="s">
        <v>259</v>
      </c>
      <c r="C42" s="13" t="s">
        <v>290</v>
      </c>
      <c r="D42" s="13" t="s">
        <v>291</v>
      </c>
      <c r="E42" s="13" t="s">
        <v>292</v>
      </c>
      <c r="F42" s="13" t="s">
        <v>293</v>
      </c>
      <c r="G42" s="14" t="s">
        <v>294</v>
      </c>
      <c r="H42" s="15" t="s">
        <v>13</v>
      </c>
      <c r="I42" s="14"/>
      <c r="J42" s="14" t="s">
        <v>63</v>
      </c>
      <c r="K42" s="16" t="s">
        <v>64</v>
      </c>
    </row>
    <row r="43" customFormat="false" ht="32.25" hidden="false" customHeight="true" outlineLevel="0" collapsed="false">
      <c r="A43" s="12" t="s">
        <v>295</v>
      </c>
      <c r="B43" s="13" t="s">
        <v>259</v>
      </c>
      <c r="C43" s="13" t="s">
        <v>296</v>
      </c>
      <c r="D43" s="13" t="s">
        <v>297</v>
      </c>
      <c r="E43" s="13" t="s">
        <v>298</v>
      </c>
      <c r="F43" s="13" t="s">
        <v>299</v>
      </c>
      <c r="G43" s="14" t="s">
        <v>300</v>
      </c>
      <c r="H43" s="15" t="s">
        <v>13</v>
      </c>
      <c r="I43" s="14"/>
      <c r="J43" s="14" t="s">
        <v>63</v>
      </c>
      <c r="K43" s="16" t="s">
        <v>64</v>
      </c>
    </row>
    <row r="44" customFormat="false" ht="32.25" hidden="false" customHeight="true" outlineLevel="0" collapsed="false">
      <c r="A44" s="12" t="s">
        <v>301</v>
      </c>
      <c r="B44" s="13" t="s">
        <v>259</v>
      </c>
      <c r="C44" s="13" t="s">
        <v>302</v>
      </c>
      <c r="D44" s="13" t="s">
        <v>303</v>
      </c>
      <c r="E44" s="13" t="s">
        <v>304</v>
      </c>
      <c r="F44" s="13" t="s">
        <v>305</v>
      </c>
      <c r="G44" s="14" t="s">
        <v>306</v>
      </c>
      <c r="H44" s="15" t="s">
        <v>13</v>
      </c>
      <c r="I44" s="14"/>
      <c r="J44" s="14" t="s">
        <v>63</v>
      </c>
      <c r="K44" s="16" t="s">
        <v>64</v>
      </c>
    </row>
    <row r="45" customFormat="false" ht="30" hidden="false" customHeight="true" outlineLevel="0" collapsed="false">
      <c r="A45" s="12" t="s">
        <v>307</v>
      </c>
      <c r="B45" s="13" t="s">
        <v>259</v>
      </c>
      <c r="C45" s="13" t="s">
        <v>308</v>
      </c>
      <c r="D45" s="13" t="s">
        <v>309</v>
      </c>
      <c r="E45" s="13" t="s">
        <v>310</v>
      </c>
      <c r="F45" s="13" t="s">
        <v>311</v>
      </c>
      <c r="G45" s="14" t="s">
        <v>312</v>
      </c>
      <c r="H45" s="15" t="s">
        <v>13</v>
      </c>
      <c r="I45" s="14"/>
      <c r="J45" s="14" t="s">
        <v>63</v>
      </c>
      <c r="K45" s="16" t="s">
        <v>83</v>
      </c>
    </row>
    <row r="46" customFormat="false" ht="32.25" hidden="false" customHeight="true" outlineLevel="0" collapsed="false">
      <c r="A46" s="12" t="s">
        <v>313</v>
      </c>
      <c r="B46" s="13" t="s">
        <v>259</v>
      </c>
      <c r="C46" s="13" t="s">
        <v>314</v>
      </c>
      <c r="D46" s="13" t="s">
        <v>315</v>
      </c>
      <c r="E46" s="13" t="s">
        <v>316</v>
      </c>
      <c r="F46" s="13" t="s">
        <v>317</v>
      </c>
      <c r="G46" s="14" t="s">
        <v>318</v>
      </c>
      <c r="H46" s="15" t="s">
        <v>13</v>
      </c>
      <c r="I46" s="14"/>
      <c r="J46" s="14" t="s">
        <v>63</v>
      </c>
      <c r="K46" s="16" t="s">
        <v>64</v>
      </c>
    </row>
    <row r="47" customFormat="false" ht="32.25" hidden="false" customHeight="true" outlineLevel="0" collapsed="false">
      <c r="A47" s="12" t="s">
        <v>319</v>
      </c>
      <c r="B47" s="13" t="s">
        <v>259</v>
      </c>
      <c r="C47" s="13" t="s">
        <v>320</v>
      </c>
      <c r="D47" s="13" t="s">
        <v>321</v>
      </c>
      <c r="E47" s="13" t="s">
        <v>322</v>
      </c>
      <c r="F47" s="13" t="s">
        <v>323</v>
      </c>
      <c r="G47" s="14" t="s">
        <v>324</v>
      </c>
      <c r="H47" s="15" t="s">
        <v>13</v>
      </c>
      <c r="I47" s="14"/>
      <c r="J47" s="14" t="s">
        <v>63</v>
      </c>
      <c r="K47" s="16" t="s">
        <v>64</v>
      </c>
    </row>
    <row r="48" customFormat="false" ht="32.25" hidden="false" customHeight="true" outlineLevel="0" collapsed="false">
      <c r="A48" s="12" t="s">
        <v>325</v>
      </c>
      <c r="B48" s="13" t="s">
        <v>259</v>
      </c>
      <c r="C48" s="13" t="s">
        <v>326</v>
      </c>
      <c r="D48" s="13" t="s">
        <v>327</v>
      </c>
      <c r="E48" s="13" t="s">
        <v>328</v>
      </c>
      <c r="F48" s="13" t="s">
        <v>329</v>
      </c>
      <c r="G48" s="14" t="s">
        <v>330</v>
      </c>
      <c r="H48" s="15" t="s">
        <v>13</v>
      </c>
      <c r="I48" s="14"/>
      <c r="J48" s="14" t="s">
        <v>63</v>
      </c>
      <c r="K48" s="16" t="s">
        <v>64</v>
      </c>
    </row>
    <row r="49" customFormat="false" ht="32.25" hidden="false" customHeight="true" outlineLevel="0" collapsed="false">
      <c r="A49" s="12" t="s">
        <v>331</v>
      </c>
      <c r="B49" s="13" t="s">
        <v>332</v>
      </c>
      <c r="C49" s="13" t="s">
        <v>333</v>
      </c>
      <c r="D49" s="13" t="s">
        <v>334</v>
      </c>
      <c r="E49" s="13" t="s">
        <v>335</v>
      </c>
      <c r="F49" s="13" t="s">
        <v>336</v>
      </c>
      <c r="G49" s="14" t="s">
        <v>337</v>
      </c>
      <c r="H49" s="15" t="s">
        <v>13</v>
      </c>
      <c r="I49" s="14"/>
      <c r="J49" s="14" t="s">
        <v>63</v>
      </c>
      <c r="K49" s="16" t="s">
        <v>64</v>
      </c>
    </row>
    <row r="50" customFormat="false" ht="30" hidden="false" customHeight="true" outlineLevel="0" collapsed="false">
      <c r="A50" s="12" t="s">
        <v>338</v>
      </c>
      <c r="B50" s="13" t="s">
        <v>332</v>
      </c>
      <c r="C50" s="13" t="s">
        <v>339</v>
      </c>
      <c r="D50" s="13" t="s">
        <v>340</v>
      </c>
      <c r="E50" s="13" t="s">
        <v>341</v>
      </c>
      <c r="F50" s="13" t="s">
        <v>342</v>
      </c>
      <c r="G50" s="14" t="s">
        <v>343</v>
      </c>
      <c r="H50" s="15" t="s">
        <v>13</v>
      </c>
      <c r="I50" s="14"/>
      <c r="J50" s="14" t="s">
        <v>63</v>
      </c>
      <c r="K50" s="16" t="s">
        <v>64</v>
      </c>
    </row>
    <row r="51" customFormat="false" ht="32.25" hidden="false" customHeight="true" outlineLevel="0" collapsed="false">
      <c r="A51" s="12" t="s">
        <v>344</v>
      </c>
      <c r="B51" s="13" t="s">
        <v>332</v>
      </c>
      <c r="C51" s="13" t="s">
        <v>345</v>
      </c>
      <c r="D51" s="13" t="s">
        <v>346</v>
      </c>
      <c r="E51" s="13" t="s">
        <v>347</v>
      </c>
      <c r="F51" s="13" t="s">
        <v>348</v>
      </c>
      <c r="G51" s="14" t="s">
        <v>349</v>
      </c>
      <c r="H51" s="15" t="s">
        <v>13</v>
      </c>
      <c r="I51" s="14"/>
      <c r="J51" s="14" t="s">
        <v>63</v>
      </c>
      <c r="K51" s="16" t="s">
        <v>64</v>
      </c>
    </row>
    <row r="52" customFormat="false" ht="32.25" hidden="false" customHeight="true" outlineLevel="0" collapsed="false">
      <c r="A52" s="12" t="s">
        <v>350</v>
      </c>
      <c r="B52" s="13" t="s">
        <v>332</v>
      </c>
      <c r="C52" s="13" t="s">
        <v>351</v>
      </c>
      <c r="D52" s="13" t="s">
        <v>352</v>
      </c>
      <c r="E52" s="13" t="s">
        <v>241</v>
      </c>
      <c r="F52" s="13" t="s">
        <v>353</v>
      </c>
      <c r="G52" s="14" t="s">
        <v>354</v>
      </c>
      <c r="H52" s="15" t="s">
        <v>13</v>
      </c>
      <c r="I52" s="14"/>
      <c r="J52" s="14" t="s">
        <v>63</v>
      </c>
      <c r="K52" s="16" t="s">
        <v>64</v>
      </c>
    </row>
    <row r="53" customFormat="false" ht="32.25" hidden="false" customHeight="true" outlineLevel="0" collapsed="false">
      <c r="A53" s="12" t="s">
        <v>355</v>
      </c>
      <c r="B53" s="13" t="s">
        <v>332</v>
      </c>
      <c r="C53" s="13" t="s">
        <v>356</v>
      </c>
      <c r="D53" s="13" t="s">
        <v>357</v>
      </c>
      <c r="E53" s="13" t="s">
        <v>358</v>
      </c>
      <c r="F53" s="13" t="s">
        <v>359</v>
      </c>
      <c r="G53" s="14" t="s">
        <v>360</v>
      </c>
      <c r="H53" s="15" t="s">
        <v>13</v>
      </c>
      <c r="I53" s="14"/>
      <c r="J53" s="14" t="s">
        <v>63</v>
      </c>
      <c r="K53" s="16" t="s">
        <v>64</v>
      </c>
    </row>
    <row r="54" customFormat="false" ht="32.25" hidden="false" customHeight="true" outlineLevel="0" collapsed="false">
      <c r="A54" s="12" t="s">
        <v>361</v>
      </c>
      <c r="B54" s="13" t="s">
        <v>332</v>
      </c>
      <c r="C54" s="13" t="s">
        <v>362</v>
      </c>
      <c r="D54" s="13" t="s">
        <v>363</v>
      </c>
      <c r="E54" s="13" t="s">
        <v>364</v>
      </c>
      <c r="F54" s="13" t="s">
        <v>365</v>
      </c>
      <c r="G54" s="14" t="s">
        <v>366</v>
      </c>
      <c r="H54" s="15" t="s">
        <v>13</v>
      </c>
      <c r="I54" s="14"/>
      <c r="J54" s="14" t="s">
        <v>63</v>
      </c>
      <c r="K54" s="16" t="s">
        <v>64</v>
      </c>
    </row>
    <row r="55" customFormat="false" ht="30" hidden="false" customHeight="true" outlineLevel="0" collapsed="false">
      <c r="A55" s="12" t="s">
        <v>367</v>
      </c>
      <c r="B55" s="13" t="s">
        <v>332</v>
      </c>
      <c r="C55" s="13" t="s">
        <v>368</v>
      </c>
      <c r="D55" s="13" t="s">
        <v>369</v>
      </c>
      <c r="E55" s="13" t="s">
        <v>370</v>
      </c>
      <c r="F55" s="13" t="s">
        <v>371</v>
      </c>
      <c r="G55" s="14" t="s">
        <v>372</v>
      </c>
      <c r="H55" s="15" t="s">
        <v>13</v>
      </c>
      <c r="I55" s="14"/>
      <c r="J55" s="14" t="s">
        <v>63</v>
      </c>
      <c r="K55" s="16" t="s">
        <v>64</v>
      </c>
    </row>
    <row r="56" customFormat="false" ht="45" hidden="false" customHeight="true" outlineLevel="0" collapsed="false">
      <c r="A56" s="12" t="s">
        <v>373</v>
      </c>
      <c r="B56" s="13" t="s">
        <v>332</v>
      </c>
      <c r="C56" s="13" t="s">
        <v>374</v>
      </c>
      <c r="D56" s="13" t="s">
        <v>375</v>
      </c>
      <c r="E56" s="13" t="s">
        <v>376</v>
      </c>
      <c r="F56" s="13" t="s">
        <v>377</v>
      </c>
      <c r="G56" s="14" t="s">
        <v>378</v>
      </c>
      <c r="H56" s="15" t="s">
        <v>13</v>
      </c>
      <c r="I56" s="14"/>
      <c r="J56" s="14" t="s">
        <v>379</v>
      </c>
      <c r="K56" s="16" t="s">
        <v>64</v>
      </c>
    </row>
    <row r="57" customFormat="false" ht="30" hidden="false" customHeight="true" outlineLevel="0" collapsed="false">
      <c r="A57" s="12" t="s">
        <v>380</v>
      </c>
      <c r="B57" s="13" t="s">
        <v>332</v>
      </c>
      <c r="C57" s="13" t="s">
        <v>381</v>
      </c>
      <c r="D57" s="13" t="s">
        <v>382</v>
      </c>
      <c r="E57" s="13" t="s">
        <v>383</v>
      </c>
      <c r="F57" s="13" t="s">
        <v>384</v>
      </c>
      <c r="G57" s="14" t="s">
        <v>385</v>
      </c>
      <c r="H57" s="15" t="s">
        <v>13</v>
      </c>
      <c r="I57" s="14"/>
      <c r="J57" s="14" t="s">
        <v>63</v>
      </c>
      <c r="K57" s="16" t="s">
        <v>64</v>
      </c>
    </row>
    <row r="58" customFormat="false" ht="84.75" hidden="false" customHeight="true" outlineLevel="0" collapsed="false">
      <c r="A58" s="12" t="s">
        <v>386</v>
      </c>
      <c r="B58" s="13" t="s">
        <v>332</v>
      </c>
      <c r="C58" s="13" t="s">
        <v>387</v>
      </c>
      <c r="D58" s="13" t="s">
        <v>388</v>
      </c>
      <c r="E58" s="13" t="s">
        <v>389</v>
      </c>
      <c r="F58" s="13" t="s">
        <v>390</v>
      </c>
      <c r="G58" s="14" t="s">
        <v>391</v>
      </c>
      <c r="H58" s="15" t="s">
        <v>13</v>
      </c>
      <c r="I58" s="14"/>
      <c r="J58" s="14" t="s">
        <v>63</v>
      </c>
      <c r="K58" s="16" t="s">
        <v>64</v>
      </c>
    </row>
    <row r="59" customFormat="false" ht="32.25" hidden="false" customHeight="true" outlineLevel="0" collapsed="false">
      <c r="A59" s="12" t="s">
        <v>392</v>
      </c>
      <c r="B59" s="13" t="s">
        <v>332</v>
      </c>
      <c r="C59" s="13" t="s">
        <v>393</v>
      </c>
      <c r="D59" s="13" t="s">
        <v>394</v>
      </c>
      <c r="E59" s="13" t="s">
        <v>395</v>
      </c>
      <c r="F59" s="13" t="s">
        <v>396</v>
      </c>
      <c r="G59" s="14" t="s">
        <v>397</v>
      </c>
      <c r="H59" s="15" t="s">
        <v>13</v>
      </c>
      <c r="I59" s="14"/>
      <c r="J59" s="14" t="s">
        <v>63</v>
      </c>
      <c r="K59" s="16" t="s">
        <v>64</v>
      </c>
    </row>
    <row r="60" customFormat="false" ht="30" hidden="false" customHeight="true" outlineLevel="0" collapsed="false">
      <c r="A60" s="12" t="s">
        <v>398</v>
      </c>
      <c r="B60" s="13" t="s">
        <v>332</v>
      </c>
      <c r="C60" s="13" t="s">
        <v>399</v>
      </c>
      <c r="D60" s="13" t="s">
        <v>400</v>
      </c>
      <c r="E60" s="13" t="s">
        <v>401</v>
      </c>
      <c r="F60" s="13" t="s">
        <v>402</v>
      </c>
      <c r="G60" s="14" t="s">
        <v>403</v>
      </c>
      <c r="H60" s="15" t="s">
        <v>13</v>
      </c>
      <c r="I60" s="14"/>
      <c r="J60" s="14" t="s">
        <v>63</v>
      </c>
      <c r="K60" s="16" t="s">
        <v>64</v>
      </c>
    </row>
    <row r="61" customFormat="false" ht="30" hidden="false" customHeight="true" outlineLevel="0" collapsed="false">
      <c r="A61" s="12" t="s">
        <v>404</v>
      </c>
      <c r="B61" s="13" t="s">
        <v>332</v>
      </c>
      <c r="C61" s="13" t="s">
        <v>405</v>
      </c>
      <c r="D61" s="13" t="s">
        <v>406</v>
      </c>
      <c r="E61" s="13" t="s">
        <v>407</v>
      </c>
      <c r="F61" s="13" t="s">
        <v>408</v>
      </c>
      <c r="G61" s="14" t="s">
        <v>409</v>
      </c>
      <c r="H61" s="15" t="s">
        <v>13</v>
      </c>
      <c r="I61" s="14"/>
      <c r="J61" s="14" t="s">
        <v>379</v>
      </c>
      <c r="K61" s="16" t="s">
        <v>83</v>
      </c>
    </row>
    <row r="62" customFormat="false" ht="32.25" hidden="false" customHeight="true" outlineLevel="0" collapsed="false">
      <c r="A62" s="12" t="s">
        <v>410</v>
      </c>
      <c r="B62" s="13" t="s">
        <v>332</v>
      </c>
      <c r="C62" s="13" t="s">
        <v>411</v>
      </c>
      <c r="D62" s="13" t="s">
        <v>412</v>
      </c>
      <c r="E62" s="13" t="s">
        <v>413</v>
      </c>
      <c r="F62" s="13" t="s">
        <v>414</v>
      </c>
      <c r="G62" s="14" t="s">
        <v>415</v>
      </c>
      <c r="H62" s="15" t="s">
        <v>13</v>
      </c>
      <c r="I62" s="14"/>
      <c r="J62" s="14" t="s">
        <v>63</v>
      </c>
      <c r="K62" s="16" t="s">
        <v>64</v>
      </c>
    </row>
    <row r="63" customFormat="false" ht="32.25" hidden="false" customHeight="true" outlineLevel="0" collapsed="false">
      <c r="A63" s="12" t="s">
        <v>416</v>
      </c>
      <c r="B63" s="13" t="s">
        <v>332</v>
      </c>
      <c r="C63" s="13" t="s">
        <v>417</v>
      </c>
      <c r="D63" s="13" t="s">
        <v>418</v>
      </c>
      <c r="E63" s="13" t="s">
        <v>419</v>
      </c>
      <c r="F63" s="13" t="s">
        <v>420</v>
      </c>
      <c r="G63" s="14" t="s">
        <v>421</v>
      </c>
      <c r="H63" s="15" t="s">
        <v>13</v>
      </c>
      <c r="I63" s="14"/>
      <c r="J63" s="14" t="s">
        <v>379</v>
      </c>
      <c r="K63" s="16" t="s">
        <v>64</v>
      </c>
    </row>
    <row r="64" customFormat="false" ht="32.25" hidden="false" customHeight="true" outlineLevel="0" collapsed="false">
      <c r="A64" s="12" t="s">
        <v>422</v>
      </c>
      <c r="B64" s="13" t="s">
        <v>332</v>
      </c>
      <c r="C64" s="13" t="s">
        <v>423</v>
      </c>
      <c r="D64" s="13" t="s">
        <v>424</v>
      </c>
      <c r="E64" s="13" t="s">
        <v>425</v>
      </c>
      <c r="F64" s="13" t="s">
        <v>426</v>
      </c>
      <c r="G64" s="14" t="s">
        <v>427</v>
      </c>
      <c r="H64" s="18" t="s">
        <v>250</v>
      </c>
      <c r="I64" s="14"/>
      <c r="J64" s="14" t="s">
        <v>428</v>
      </c>
      <c r="K64" s="16" t="s">
        <v>83</v>
      </c>
    </row>
    <row r="65" customFormat="false" ht="32.25" hidden="false" customHeight="true" outlineLevel="0" collapsed="false">
      <c r="A65" s="12" t="s">
        <v>429</v>
      </c>
      <c r="B65" s="13" t="s">
        <v>332</v>
      </c>
      <c r="C65" s="13" t="s">
        <v>430</v>
      </c>
      <c r="D65" s="13" t="s">
        <v>431</v>
      </c>
      <c r="E65" s="13" t="s">
        <v>432</v>
      </c>
      <c r="F65" s="13" t="s">
        <v>433</v>
      </c>
      <c r="G65" s="14" t="s">
        <v>434</v>
      </c>
      <c r="H65" s="15" t="s">
        <v>13</v>
      </c>
      <c r="I65" s="14"/>
      <c r="J65" s="14" t="s">
        <v>63</v>
      </c>
      <c r="K65" s="16" t="s">
        <v>64</v>
      </c>
    </row>
    <row r="66" customFormat="false" ht="32.25" hidden="false" customHeight="true" outlineLevel="0" collapsed="false">
      <c r="A66" s="12" t="s">
        <v>435</v>
      </c>
      <c r="B66" s="13" t="s">
        <v>332</v>
      </c>
      <c r="C66" s="13" t="s">
        <v>436</v>
      </c>
      <c r="D66" s="13" t="s">
        <v>437</v>
      </c>
      <c r="E66" s="13" t="s">
        <v>438</v>
      </c>
      <c r="F66" s="13" t="s">
        <v>439</v>
      </c>
      <c r="G66" s="14" t="s">
        <v>440</v>
      </c>
      <c r="H66" s="15" t="s">
        <v>13</v>
      </c>
      <c r="I66" s="14"/>
      <c r="J66" s="14" t="s">
        <v>63</v>
      </c>
      <c r="K66" s="16" t="s">
        <v>64</v>
      </c>
    </row>
    <row r="67" customFormat="false" ht="30" hidden="false" customHeight="true" outlineLevel="0" collapsed="false">
      <c r="A67" s="12" t="s">
        <v>441</v>
      </c>
      <c r="B67" s="13" t="s">
        <v>332</v>
      </c>
      <c r="C67" s="13" t="s">
        <v>442</v>
      </c>
      <c r="D67" s="13" t="s">
        <v>443</v>
      </c>
      <c r="E67" s="13" t="s">
        <v>444</v>
      </c>
      <c r="F67" s="13" t="s">
        <v>445</v>
      </c>
      <c r="G67" s="14" t="s">
        <v>446</v>
      </c>
      <c r="H67" s="15" t="s">
        <v>13</v>
      </c>
      <c r="I67" s="14"/>
      <c r="J67" s="14" t="s">
        <v>63</v>
      </c>
      <c r="K67" s="16" t="s">
        <v>64</v>
      </c>
    </row>
    <row r="68" customFormat="false" ht="30" hidden="false" customHeight="true" outlineLevel="0" collapsed="false">
      <c r="A68" s="12" t="s">
        <v>447</v>
      </c>
      <c r="B68" s="13" t="s">
        <v>332</v>
      </c>
      <c r="C68" s="13" t="s">
        <v>448</v>
      </c>
      <c r="D68" s="13" t="s">
        <v>449</v>
      </c>
      <c r="E68" s="13" t="s">
        <v>450</v>
      </c>
      <c r="F68" s="13" t="s">
        <v>451</v>
      </c>
      <c r="G68" s="14" t="s">
        <v>452</v>
      </c>
      <c r="H68" s="15" t="s">
        <v>13</v>
      </c>
      <c r="I68" s="14"/>
      <c r="J68" s="14" t="s">
        <v>63</v>
      </c>
      <c r="K68" s="16" t="s">
        <v>83</v>
      </c>
    </row>
    <row r="69" customFormat="false" ht="32.25" hidden="false" customHeight="true" outlineLevel="0" collapsed="false">
      <c r="A69" s="12" t="s">
        <v>453</v>
      </c>
      <c r="B69" s="13" t="s">
        <v>332</v>
      </c>
      <c r="C69" s="13" t="s">
        <v>454</v>
      </c>
      <c r="D69" s="13" t="s">
        <v>455</v>
      </c>
      <c r="E69" s="13" t="s">
        <v>456</v>
      </c>
      <c r="F69" s="13" t="s">
        <v>457</v>
      </c>
      <c r="G69" s="14" t="s">
        <v>458</v>
      </c>
      <c r="H69" s="15" t="s">
        <v>13</v>
      </c>
      <c r="I69" s="14"/>
      <c r="J69" s="14" t="s">
        <v>63</v>
      </c>
      <c r="K69" s="16" t="s">
        <v>83</v>
      </c>
    </row>
    <row r="70" customFormat="false" ht="32.25" hidden="false" customHeight="true" outlineLevel="0" collapsed="false">
      <c r="A70" s="12" t="s">
        <v>459</v>
      </c>
      <c r="B70" s="13" t="s">
        <v>332</v>
      </c>
      <c r="C70" s="13" t="s">
        <v>460</v>
      </c>
      <c r="D70" s="13" t="s">
        <v>461</v>
      </c>
      <c r="E70" s="13" t="s">
        <v>462</v>
      </c>
      <c r="F70" s="13" t="s">
        <v>463</v>
      </c>
      <c r="G70" s="14" t="s">
        <v>464</v>
      </c>
      <c r="H70" s="15" t="s">
        <v>13</v>
      </c>
      <c r="I70" s="14"/>
      <c r="J70" s="14" t="s">
        <v>63</v>
      </c>
      <c r="K70" s="16" t="s">
        <v>465</v>
      </c>
    </row>
    <row r="71" customFormat="false" ht="32.25" hidden="false" customHeight="true" outlineLevel="0" collapsed="false">
      <c r="A71" s="12" t="s">
        <v>466</v>
      </c>
      <c r="B71" s="13" t="s">
        <v>467</v>
      </c>
      <c r="C71" s="13" t="s">
        <v>468</v>
      </c>
      <c r="D71" s="13" t="s">
        <v>469</v>
      </c>
      <c r="E71" s="13" t="s">
        <v>470</v>
      </c>
      <c r="F71" s="13" t="s">
        <v>471</v>
      </c>
      <c r="G71" s="14" t="s">
        <v>472</v>
      </c>
      <c r="H71" s="15" t="s">
        <v>13</v>
      </c>
      <c r="I71" s="14"/>
      <c r="J71" s="14" t="s">
        <v>63</v>
      </c>
      <c r="K71" s="16" t="s">
        <v>64</v>
      </c>
    </row>
    <row r="72" customFormat="false" ht="45" hidden="false" customHeight="true" outlineLevel="0" collapsed="false">
      <c r="A72" s="12" t="s">
        <v>473</v>
      </c>
      <c r="B72" s="13" t="s">
        <v>467</v>
      </c>
      <c r="C72" s="13" t="s">
        <v>474</v>
      </c>
      <c r="D72" s="13" t="s">
        <v>475</v>
      </c>
      <c r="E72" s="13" t="s">
        <v>476</v>
      </c>
      <c r="F72" s="13" t="s">
        <v>477</v>
      </c>
      <c r="G72" s="14" t="s">
        <v>478</v>
      </c>
      <c r="H72" s="15" t="s">
        <v>13</v>
      </c>
      <c r="I72" s="14"/>
      <c r="J72" s="14" t="s">
        <v>63</v>
      </c>
      <c r="K72" s="16" t="s">
        <v>83</v>
      </c>
    </row>
    <row r="73" customFormat="false" ht="32.25" hidden="false" customHeight="true" outlineLevel="0" collapsed="false">
      <c r="A73" s="12" t="s">
        <v>479</v>
      </c>
      <c r="B73" s="13" t="s">
        <v>467</v>
      </c>
      <c r="C73" s="13" t="s">
        <v>480</v>
      </c>
      <c r="D73" s="13" t="s">
        <v>481</v>
      </c>
      <c r="E73" s="13" t="s">
        <v>482</v>
      </c>
      <c r="F73" s="13" t="s">
        <v>483</v>
      </c>
      <c r="G73" s="14" t="s">
        <v>484</v>
      </c>
      <c r="H73" s="15" t="s">
        <v>13</v>
      </c>
      <c r="I73" s="14"/>
      <c r="J73" s="14" t="s">
        <v>63</v>
      </c>
      <c r="K73" s="16" t="s">
        <v>83</v>
      </c>
    </row>
    <row r="74" customFormat="false" ht="45" hidden="false" customHeight="true" outlineLevel="0" collapsed="false">
      <c r="A74" s="12" t="s">
        <v>485</v>
      </c>
      <c r="B74" s="13" t="s">
        <v>467</v>
      </c>
      <c r="C74" s="13" t="s">
        <v>486</v>
      </c>
      <c r="D74" s="13" t="s">
        <v>487</v>
      </c>
      <c r="E74" s="13" t="s">
        <v>488</v>
      </c>
      <c r="F74" s="13" t="s">
        <v>489</v>
      </c>
      <c r="G74" s="14" t="s">
        <v>490</v>
      </c>
      <c r="H74" s="15" t="s">
        <v>13</v>
      </c>
      <c r="I74" s="14"/>
      <c r="J74" s="14" t="s">
        <v>63</v>
      </c>
      <c r="K74" s="16" t="s">
        <v>64</v>
      </c>
    </row>
    <row r="75" customFormat="false" ht="30" hidden="false" customHeight="true" outlineLevel="0" collapsed="false">
      <c r="A75" s="12" t="s">
        <v>491</v>
      </c>
      <c r="B75" s="13" t="s">
        <v>467</v>
      </c>
      <c r="C75" s="13" t="s">
        <v>492</v>
      </c>
      <c r="D75" s="13" t="s">
        <v>493</v>
      </c>
      <c r="E75" s="13" t="s">
        <v>494</v>
      </c>
      <c r="F75" s="13" t="s">
        <v>495</v>
      </c>
      <c r="G75" s="14" t="s">
        <v>496</v>
      </c>
      <c r="H75" s="15" t="s">
        <v>13</v>
      </c>
      <c r="I75" s="14"/>
      <c r="J75" s="14" t="s">
        <v>63</v>
      </c>
      <c r="K75" s="16" t="s">
        <v>83</v>
      </c>
    </row>
    <row r="76" customFormat="false" ht="32.25" hidden="false" customHeight="true" outlineLevel="0" collapsed="false">
      <c r="A76" s="12" t="s">
        <v>497</v>
      </c>
      <c r="B76" s="13" t="s">
        <v>467</v>
      </c>
      <c r="C76" s="13" t="s">
        <v>498</v>
      </c>
      <c r="D76" s="13" t="s">
        <v>499</v>
      </c>
      <c r="E76" s="13" t="s">
        <v>500</v>
      </c>
      <c r="F76" s="13" t="s">
        <v>501</v>
      </c>
      <c r="G76" s="14" t="s">
        <v>502</v>
      </c>
      <c r="H76" s="15" t="s">
        <v>13</v>
      </c>
      <c r="I76" s="14"/>
      <c r="J76" s="14" t="s">
        <v>63</v>
      </c>
      <c r="K76" s="16" t="s">
        <v>83</v>
      </c>
    </row>
    <row r="77" customFormat="false" ht="32.25" hidden="false" customHeight="true" outlineLevel="0" collapsed="false">
      <c r="A77" s="12" t="s">
        <v>503</v>
      </c>
      <c r="B77" s="13" t="s">
        <v>467</v>
      </c>
      <c r="C77" s="13" t="s">
        <v>504</v>
      </c>
      <c r="D77" s="13" t="s">
        <v>505</v>
      </c>
      <c r="E77" s="13" t="s">
        <v>298</v>
      </c>
      <c r="F77" s="13" t="s">
        <v>506</v>
      </c>
      <c r="G77" s="14" t="s">
        <v>507</v>
      </c>
      <c r="H77" s="15" t="s">
        <v>13</v>
      </c>
      <c r="I77" s="14"/>
      <c r="J77" s="14" t="s">
        <v>63</v>
      </c>
      <c r="K77" s="16" t="s">
        <v>64</v>
      </c>
    </row>
    <row r="78" customFormat="false" ht="45" hidden="false" customHeight="true" outlineLevel="0" collapsed="false">
      <c r="A78" s="12" t="s">
        <v>508</v>
      </c>
      <c r="B78" s="13" t="s">
        <v>467</v>
      </c>
      <c r="C78" s="13" t="s">
        <v>509</v>
      </c>
      <c r="D78" s="13" t="s">
        <v>510</v>
      </c>
      <c r="E78" s="13" t="s">
        <v>511</v>
      </c>
      <c r="F78" s="13" t="s">
        <v>512</v>
      </c>
      <c r="G78" s="14" t="s">
        <v>513</v>
      </c>
      <c r="H78" s="15" t="s">
        <v>13</v>
      </c>
      <c r="I78" s="14"/>
      <c r="J78" s="14" t="s">
        <v>63</v>
      </c>
      <c r="K78" s="16" t="s">
        <v>64</v>
      </c>
    </row>
    <row r="79" customFormat="false" ht="32.25" hidden="false" customHeight="true" outlineLevel="0" collapsed="false">
      <c r="A79" s="12" t="s">
        <v>514</v>
      </c>
      <c r="B79" s="13" t="s">
        <v>467</v>
      </c>
      <c r="C79" s="13" t="s">
        <v>515</v>
      </c>
      <c r="D79" s="13" t="s">
        <v>516</v>
      </c>
      <c r="E79" s="13" t="s">
        <v>517</v>
      </c>
      <c r="F79" s="13" t="s">
        <v>518</v>
      </c>
      <c r="G79" s="14" t="s">
        <v>519</v>
      </c>
      <c r="H79" s="15" t="s">
        <v>13</v>
      </c>
      <c r="I79" s="14"/>
      <c r="J79" s="14" t="s">
        <v>63</v>
      </c>
      <c r="K79" s="16" t="s">
        <v>83</v>
      </c>
    </row>
    <row r="80" customFormat="false" ht="32.25" hidden="false" customHeight="true" outlineLevel="0" collapsed="false">
      <c r="A80" s="12" t="s">
        <v>520</v>
      </c>
      <c r="B80" s="13" t="s">
        <v>467</v>
      </c>
      <c r="C80" s="13" t="s">
        <v>521</v>
      </c>
      <c r="D80" s="13" t="s">
        <v>522</v>
      </c>
      <c r="E80" s="13" t="s">
        <v>523</v>
      </c>
      <c r="F80" s="13" t="s">
        <v>524</v>
      </c>
      <c r="G80" s="14" t="s">
        <v>525</v>
      </c>
      <c r="H80" s="15" t="s">
        <v>13</v>
      </c>
      <c r="I80" s="14"/>
      <c r="J80" s="14" t="s">
        <v>379</v>
      </c>
      <c r="K80" s="16" t="s">
        <v>64</v>
      </c>
    </row>
    <row r="81" customFormat="false" ht="32.25" hidden="false" customHeight="true" outlineLevel="0" collapsed="false">
      <c r="A81" s="12" t="s">
        <v>526</v>
      </c>
      <c r="B81" s="13" t="s">
        <v>467</v>
      </c>
      <c r="C81" s="13" t="s">
        <v>527</v>
      </c>
      <c r="D81" s="13" t="s">
        <v>528</v>
      </c>
      <c r="E81" s="13" t="s">
        <v>529</v>
      </c>
      <c r="F81" s="13" t="s">
        <v>530</v>
      </c>
      <c r="G81" s="14" t="s">
        <v>531</v>
      </c>
      <c r="H81" s="15" t="s">
        <v>13</v>
      </c>
      <c r="I81" s="14"/>
      <c r="J81" s="14" t="s">
        <v>63</v>
      </c>
      <c r="K81" s="16" t="s">
        <v>83</v>
      </c>
    </row>
    <row r="82" customFormat="false" ht="45" hidden="false" customHeight="true" outlineLevel="0" collapsed="false">
      <c r="A82" s="12" t="s">
        <v>532</v>
      </c>
      <c r="B82" s="13" t="s">
        <v>467</v>
      </c>
      <c r="C82" s="13" t="s">
        <v>40</v>
      </c>
      <c r="D82" s="13" t="s">
        <v>533</v>
      </c>
      <c r="E82" s="13" t="s">
        <v>534</v>
      </c>
      <c r="F82" s="13" t="s">
        <v>535</v>
      </c>
      <c r="G82" s="14" t="s">
        <v>536</v>
      </c>
      <c r="H82" s="15" t="s">
        <v>13</v>
      </c>
      <c r="I82" s="14"/>
      <c r="J82" s="14" t="s">
        <v>537</v>
      </c>
      <c r="K82" s="16" t="s">
        <v>83</v>
      </c>
    </row>
    <row r="83" customFormat="false" ht="32.25" hidden="false" customHeight="true" outlineLevel="0" collapsed="false">
      <c r="A83" s="12" t="s">
        <v>538</v>
      </c>
      <c r="B83" s="13" t="s">
        <v>467</v>
      </c>
      <c r="C83" s="13" t="s">
        <v>539</v>
      </c>
      <c r="D83" s="13" t="s">
        <v>540</v>
      </c>
      <c r="E83" s="13" t="s">
        <v>541</v>
      </c>
      <c r="F83" s="13" t="s">
        <v>542</v>
      </c>
      <c r="G83" s="14" t="s">
        <v>543</v>
      </c>
      <c r="H83" s="15" t="s">
        <v>13</v>
      </c>
      <c r="I83" s="14"/>
      <c r="J83" s="14" t="s">
        <v>63</v>
      </c>
      <c r="K83" s="16" t="s">
        <v>465</v>
      </c>
    </row>
    <row r="84" customFormat="false" ht="45" hidden="false" customHeight="true" outlineLevel="0" collapsed="false">
      <c r="A84" s="12" t="s">
        <v>544</v>
      </c>
      <c r="B84" s="13" t="s">
        <v>545</v>
      </c>
      <c r="C84" s="13" t="s">
        <v>546</v>
      </c>
      <c r="D84" s="13" t="s">
        <v>547</v>
      </c>
      <c r="E84" s="13" t="s">
        <v>548</v>
      </c>
      <c r="F84" s="13" t="s">
        <v>549</v>
      </c>
      <c r="G84" s="14" t="s">
        <v>550</v>
      </c>
      <c r="H84" s="15" t="s">
        <v>13</v>
      </c>
      <c r="I84" s="14"/>
      <c r="J84" s="14" t="s">
        <v>63</v>
      </c>
      <c r="K84" s="16" t="s">
        <v>64</v>
      </c>
    </row>
    <row r="85" customFormat="false" ht="30" hidden="false" customHeight="true" outlineLevel="0" collapsed="false">
      <c r="A85" s="12" t="s">
        <v>551</v>
      </c>
      <c r="B85" s="13" t="s">
        <v>545</v>
      </c>
      <c r="C85" s="13" t="s">
        <v>552</v>
      </c>
      <c r="D85" s="13" t="s">
        <v>553</v>
      </c>
      <c r="E85" s="13" t="s">
        <v>554</v>
      </c>
      <c r="F85" s="13" t="s">
        <v>555</v>
      </c>
      <c r="G85" s="14" t="s">
        <v>556</v>
      </c>
      <c r="H85" s="15" t="s">
        <v>13</v>
      </c>
      <c r="I85" s="14"/>
      <c r="J85" s="14" t="s">
        <v>63</v>
      </c>
      <c r="K85" s="16" t="s">
        <v>64</v>
      </c>
    </row>
    <row r="86" customFormat="false" ht="30" hidden="false" customHeight="true" outlineLevel="0" collapsed="false">
      <c r="A86" s="12" t="s">
        <v>557</v>
      </c>
      <c r="B86" s="13" t="s">
        <v>545</v>
      </c>
      <c r="C86" s="13" t="s">
        <v>558</v>
      </c>
      <c r="D86" s="13" t="s">
        <v>559</v>
      </c>
      <c r="E86" s="13" t="s">
        <v>560</v>
      </c>
      <c r="F86" s="13" t="s">
        <v>561</v>
      </c>
      <c r="G86" s="14" t="s">
        <v>562</v>
      </c>
      <c r="H86" s="15" t="s">
        <v>13</v>
      </c>
      <c r="I86" s="14"/>
      <c r="J86" s="14" t="s">
        <v>63</v>
      </c>
      <c r="K86" s="16" t="s">
        <v>64</v>
      </c>
    </row>
    <row r="87" customFormat="false" ht="32.25" hidden="false" customHeight="true" outlineLevel="0" collapsed="false">
      <c r="A87" s="12" t="s">
        <v>563</v>
      </c>
      <c r="B87" s="13" t="s">
        <v>545</v>
      </c>
      <c r="C87" s="13" t="s">
        <v>564</v>
      </c>
      <c r="D87" s="13" t="s">
        <v>565</v>
      </c>
      <c r="E87" s="13" t="s">
        <v>566</v>
      </c>
      <c r="F87" s="13" t="s">
        <v>567</v>
      </c>
      <c r="G87" s="14" t="s">
        <v>568</v>
      </c>
      <c r="H87" s="15" t="s">
        <v>13</v>
      </c>
      <c r="I87" s="14"/>
      <c r="J87" s="14" t="s">
        <v>63</v>
      </c>
      <c r="K87" s="16" t="s">
        <v>64</v>
      </c>
    </row>
    <row r="88" customFormat="false" ht="32.25" hidden="false" customHeight="true" outlineLevel="0" collapsed="false">
      <c r="A88" s="12" t="s">
        <v>569</v>
      </c>
      <c r="B88" s="13" t="s">
        <v>545</v>
      </c>
      <c r="C88" s="13" t="s">
        <v>570</v>
      </c>
      <c r="D88" s="13" t="s">
        <v>571</v>
      </c>
      <c r="E88" s="13" t="s">
        <v>572</v>
      </c>
      <c r="F88" s="13" t="s">
        <v>573</v>
      </c>
      <c r="G88" s="14" t="s">
        <v>574</v>
      </c>
      <c r="H88" s="15" t="s">
        <v>13</v>
      </c>
      <c r="I88" s="14"/>
      <c r="J88" s="14" t="s">
        <v>63</v>
      </c>
      <c r="K88" s="16" t="s">
        <v>83</v>
      </c>
    </row>
    <row r="89" customFormat="false" ht="45" hidden="false" customHeight="true" outlineLevel="0" collapsed="false">
      <c r="A89" s="12" t="s">
        <v>575</v>
      </c>
      <c r="B89" s="13" t="s">
        <v>545</v>
      </c>
      <c r="C89" s="13" t="s">
        <v>576</v>
      </c>
      <c r="D89" s="13" t="s">
        <v>577</v>
      </c>
      <c r="E89" s="13" t="s">
        <v>99</v>
      </c>
      <c r="F89" s="13" t="s">
        <v>578</v>
      </c>
      <c r="G89" s="14" t="s">
        <v>579</v>
      </c>
      <c r="H89" s="15" t="s">
        <v>13</v>
      </c>
      <c r="I89" s="14"/>
      <c r="J89" s="14" t="s">
        <v>63</v>
      </c>
      <c r="K89" s="16" t="s">
        <v>64</v>
      </c>
    </row>
    <row r="90" customFormat="false" ht="32.25" hidden="false" customHeight="true" outlineLevel="0" collapsed="false">
      <c r="A90" s="12" t="s">
        <v>580</v>
      </c>
      <c r="B90" s="13" t="s">
        <v>545</v>
      </c>
      <c r="C90" s="13" t="s">
        <v>581</v>
      </c>
      <c r="D90" s="13" t="s">
        <v>582</v>
      </c>
      <c r="E90" s="13" t="s">
        <v>583</v>
      </c>
      <c r="F90" s="13" t="s">
        <v>584</v>
      </c>
      <c r="G90" s="14" t="s">
        <v>585</v>
      </c>
      <c r="H90" s="18" t="s">
        <v>250</v>
      </c>
      <c r="I90" s="14"/>
      <c r="J90" s="14" t="s">
        <v>251</v>
      </c>
      <c r="K90" s="16" t="s">
        <v>83</v>
      </c>
    </row>
    <row r="91" customFormat="false" ht="32.25" hidden="false" customHeight="true" outlineLevel="0" collapsed="false">
      <c r="A91" s="12" t="s">
        <v>586</v>
      </c>
      <c r="B91" s="13" t="s">
        <v>545</v>
      </c>
      <c r="C91" s="13" t="s">
        <v>587</v>
      </c>
      <c r="D91" s="13" t="s">
        <v>588</v>
      </c>
      <c r="E91" s="13" t="s">
        <v>99</v>
      </c>
      <c r="F91" s="13" t="s">
        <v>589</v>
      </c>
      <c r="G91" s="14" t="s">
        <v>590</v>
      </c>
      <c r="H91" s="15" t="s">
        <v>13</v>
      </c>
      <c r="I91" s="14"/>
      <c r="J91" s="14" t="s">
        <v>63</v>
      </c>
      <c r="K91" s="16" t="s">
        <v>64</v>
      </c>
    </row>
    <row r="92" customFormat="false" ht="32.25" hidden="false" customHeight="true" outlineLevel="0" collapsed="false">
      <c r="A92" s="12" t="s">
        <v>591</v>
      </c>
      <c r="B92" s="13" t="s">
        <v>545</v>
      </c>
      <c r="C92" s="13" t="s">
        <v>592</v>
      </c>
      <c r="D92" s="13" t="s">
        <v>593</v>
      </c>
      <c r="E92" s="13" t="s">
        <v>594</v>
      </c>
      <c r="F92" s="13" t="s">
        <v>595</v>
      </c>
      <c r="G92" s="14" t="s">
        <v>596</v>
      </c>
      <c r="H92" s="15" t="s">
        <v>13</v>
      </c>
      <c r="I92" s="14"/>
      <c r="J92" s="14" t="s">
        <v>63</v>
      </c>
      <c r="K92" s="16" t="s">
        <v>465</v>
      </c>
    </row>
    <row r="93" customFormat="false" ht="32.25" hidden="false" customHeight="true" outlineLevel="0" collapsed="false">
      <c r="A93" s="12" t="s">
        <v>597</v>
      </c>
      <c r="B93" s="13" t="s">
        <v>545</v>
      </c>
      <c r="C93" s="13" t="s">
        <v>598</v>
      </c>
      <c r="D93" s="13" t="s">
        <v>599</v>
      </c>
      <c r="E93" s="13" t="s">
        <v>99</v>
      </c>
      <c r="F93" s="13" t="s">
        <v>600</v>
      </c>
      <c r="G93" s="14" t="s">
        <v>601</v>
      </c>
      <c r="H93" s="18" t="s">
        <v>250</v>
      </c>
      <c r="I93" s="14" t="s">
        <v>602</v>
      </c>
      <c r="J93" s="14" t="s">
        <v>603</v>
      </c>
      <c r="K93" s="16" t="s">
        <v>465</v>
      </c>
    </row>
    <row r="94" customFormat="false" ht="45" hidden="false" customHeight="true" outlineLevel="0" collapsed="false">
      <c r="A94" s="12" t="s">
        <v>604</v>
      </c>
      <c r="B94" s="13" t="s">
        <v>545</v>
      </c>
      <c r="C94" s="13" t="s">
        <v>605</v>
      </c>
      <c r="D94" s="13" t="s">
        <v>606</v>
      </c>
      <c r="E94" s="13" t="s">
        <v>607</v>
      </c>
      <c r="F94" s="13" t="s">
        <v>608</v>
      </c>
      <c r="G94" s="14" t="s">
        <v>609</v>
      </c>
      <c r="H94" s="15" t="s">
        <v>13</v>
      </c>
      <c r="I94" s="14"/>
      <c r="J94" s="14" t="s">
        <v>63</v>
      </c>
      <c r="K94" s="16" t="s">
        <v>64</v>
      </c>
    </row>
    <row r="95" customFormat="false" ht="32.25" hidden="false" customHeight="true" outlineLevel="0" collapsed="false">
      <c r="A95" s="12" t="s">
        <v>610</v>
      </c>
      <c r="B95" s="13" t="s">
        <v>545</v>
      </c>
      <c r="C95" s="13" t="s">
        <v>611</v>
      </c>
      <c r="D95" s="13" t="s">
        <v>612</v>
      </c>
      <c r="E95" s="13" t="s">
        <v>99</v>
      </c>
      <c r="F95" s="13" t="s">
        <v>613</v>
      </c>
      <c r="G95" s="14" t="s">
        <v>614</v>
      </c>
      <c r="H95" s="15" t="s">
        <v>13</v>
      </c>
      <c r="I95" s="14"/>
      <c r="J95" s="14" t="s">
        <v>63</v>
      </c>
      <c r="K95" s="16" t="s">
        <v>64</v>
      </c>
    </row>
    <row r="96" customFormat="false" ht="32.25" hidden="false" customHeight="true" outlineLevel="0" collapsed="false">
      <c r="A96" s="12" t="s">
        <v>615</v>
      </c>
      <c r="B96" s="13" t="s">
        <v>545</v>
      </c>
      <c r="C96" s="13" t="s">
        <v>616</v>
      </c>
      <c r="D96" s="13" t="s">
        <v>617</v>
      </c>
      <c r="E96" s="13" t="s">
        <v>618</v>
      </c>
      <c r="F96" s="13" t="s">
        <v>619</v>
      </c>
      <c r="G96" s="14" t="s">
        <v>620</v>
      </c>
      <c r="H96" s="15" t="s">
        <v>13</v>
      </c>
      <c r="I96" s="14"/>
      <c r="J96" s="14" t="s">
        <v>63</v>
      </c>
      <c r="K96" s="16" t="s">
        <v>83</v>
      </c>
    </row>
    <row r="97" customFormat="false" ht="32.25" hidden="false" customHeight="true" outlineLevel="0" collapsed="false">
      <c r="A97" s="12" t="s">
        <v>621</v>
      </c>
      <c r="B97" s="13" t="s">
        <v>545</v>
      </c>
      <c r="C97" s="13" t="s">
        <v>622</v>
      </c>
      <c r="D97" s="13" t="s">
        <v>623</v>
      </c>
      <c r="E97" s="13" t="s">
        <v>624</v>
      </c>
      <c r="F97" s="13" t="s">
        <v>625</v>
      </c>
      <c r="G97" s="14" t="s">
        <v>626</v>
      </c>
      <c r="H97" s="15" t="s">
        <v>13</v>
      </c>
      <c r="I97" s="14"/>
      <c r="J97" s="14" t="s">
        <v>63</v>
      </c>
      <c r="K97" s="16" t="s">
        <v>64</v>
      </c>
    </row>
    <row r="98" customFormat="false" ht="32.25" hidden="false" customHeight="true" outlineLevel="0" collapsed="false">
      <c r="A98" s="12" t="s">
        <v>627</v>
      </c>
      <c r="B98" s="13" t="s">
        <v>545</v>
      </c>
      <c r="C98" s="13" t="s">
        <v>628</v>
      </c>
      <c r="D98" s="13" t="s">
        <v>629</v>
      </c>
      <c r="E98" s="13" t="s">
        <v>630</v>
      </c>
      <c r="F98" s="13" t="s">
        <v>631</v>
      </c>
      <c r="G98" s="14" t="s">
        <v>632</v>
      </c>
      <c r="H98" s="18" t="s">
        <v>250</v>
      </c>
      <c r="I98" s="14"/>
      <c r="J98" s="14" t="s">
        <v>633</v>
      </c>
      <c r="K98" s="16" t="s">
        <v>64</v>
      </c>
    </row>
    <row r="99" customFormat="false" ht="45" hidden="false" customHeight="true" outlineLevel="0" collapsed="false">
      <c r="A99" s="12" t="s">
        <v>634</v>
      </c>
      <c r="B99" s="13" t="s">
        <v>545</v>
      </c>
      <c r="C99" s="13" t="s">
        <v>635</v>
      </c>
      <c r="D99" s="13" t="s">
        <v>636</v>
      </c>
      <c r="E99" s="13" t="s">
        <v>637</v>
      </c>
      <c r="F99" s="13" t="s">
        <v>638</v>
      </c>
      <c r="G99" s="14" t="s">
        <v>639</v>
      </c>
      <c r="H99" s="15" t="s">
        <v>13</v>
      </c>
      <c r="I99" s="14"/>
      <c r="J99" s="14" t="s">
        <v>640</v>
      </c>
      <c r="K99" s="16" t="s">
        <v>64</v>
      </c>
    </row>
    <row r="100" customFormat="false" ht="30" hidden="false" customHeight="true" outlineLevel="0" collapsed="false">
      <c r="A100" s="12" t="s">
        <v>641</v>
      </c>
      <c r="B100" s="13" t="s">
        <v>545</v>
      </c>
      <c r="C100" s="13" t="s">
        <v>642</v>
      </c>
      <c r="D100" s="13" t="s">
        <v>643</v>
      </c>
      <c r="E100" s="13" t="s">
        <v>644</v>
      </c>
      <c r="F100" s="13" t="s">
        <v>645</v>
      </c>
      <c r="G100" s="14" t="s">
        <v>646</v>
      </c>
      <c r="H100" s="15" t="s">
        <v>13</v>
      </c>
      <c r="I100" s="14"/>
      <c r="J100" s="14" t="s">
        <v>63</v>
      </c>
      <c r="K100" s="16" t="s">
        <v>64</v>
      </c>
    </row>
    <row r="101" customFormat="false" ht="32.25" hidden="false" customHeight="true" outlineLevel="0" collapsed="false">
      <c r="A101" s="12" t="s">
        <v>647</v>
      </c>
      <c r="B101" s="13" t="s">
        <v>545</v>
      </c>
      <c r="C101" s="13" t="s">
        <v>648</v>
      </c>
      <c r="D101" s="13" t="s">
        <v>649</v>
      </c>
      <c r="E101" s="13" t="s">
        <v>650</v>
      </c>
      <c r="F101" s="13" t="s">
        <v>651</v>
      </c>
      <c r="G101" s="14" t="s">
        <v>652</v>
      </c>
      <c r="H101" s="15" t="s">
        <v>13</v>
      </c>
      <c r="I101" s="14"/>
      <c r="J101" s="14" t="s">
        <v>63</v>
      </c>
      <c r="K101" s="16" t="s">
        <v>83</v>
      </c>
    </row>
    <row r="102" customFormat="false" ht="45" hidden="false" customHeight="true" outlineLevel="0" collapsed="false">
      <c r="A102" s="12" t="s">
        <v>653</v>
      </c>
      <c r="B102" s="13" t="s">
        <v>545</v>
      </c>
      <c r="C102" s="13" t="s">
        <v>654</v>
      </c>
      <c r="D102" s="13" t="s">
        <v>655</v>
      </c>
      <c r="E102" s="13" t="s">
        <v>656</v>
      </c>
      <c r="F102" s="13" t="s">
        <v>657</v>
      </c>
      <c r="G102" s="14" t="s">
        <v>658</v>
      </c>
      <c r="H102" s="15" t="s">
        <v>13</v>
      </c>
      <c r="I102" s="14"/>
      <c r="J102" s="14" t="s">
        <v>63</v>
      </c>
      <c r="K102" s="16" t="s">
        <v>83</v>
      </c>
    </row>
    <row r="103" customFormat="false" ht="32.25" hidden="false" customHeight="true" outlineLevel="0" collapsed="false">
      <c r="A103" s="12" t="s">
        <v>659</v>
      </c>
      <c r="B103" s="13" t="s">
        <v>545</v>
      </c>
      <c r="C103" s="13" t="s">
        <v>660</v>
      </c>
      <c r="D103" s="13" t="s">
        <v>661</v>
      </c>
      <c r="E103" s="13" t="s">
        <v>662</v>
      </c>
      <c r="F103" s="13" t="s">
        <v>663</v>
      </c>
      <c r="G103" s="14" t="s">
        <v>664</v>
      </c>
      <c r="H103" s="15" t="s">
        <v>13</v>
      </c>
      <c r="I103" s="14"/>
      <c r="J103" s="14" t="s">
        <v>63</v>
      </c>
      <c r="K103" s="16" t="s">
        <v>64</v>
      </c>
    </row>
    <row r="104" customFormat="false" ht="30" hidden="false" customHeight="true" outlineLevel="0" collapsed="false">
      <c r="A104" s="12" t="s">
        <v>665</v>
      </c>
      <c r="B104" s="13" t="s">
        <v>545</v>
      </c>
      <c r="C104" s="13" t="s">
        <v>666</v>
      </c>
      <c r="D104" s="13" t="s">
        <v>667</v>
      </c>
      <c r="E104" s="13" t="s">
        <v>668</v>
      </c>
      <c r="F104" s="13" t="s">
        <v>669</v>
      </c>
      <c r="G104" s="14" t="s">
        <v>670</v>
      </c>
      <c r="H104" s="15" t="s">
        <v>13</v>
      </c>
      <c r="I104" s="14"/>
      <c r="J104" s="14" t="s">
        <v>63</v>
      </c>
      <c r="K104" s="16" t="s">
        <v>83</v>
      </c>
    </row>
    <row r="105" customFormat="false" ht="32.25" hidden="false" customHeight="true" outlineLevel="0" collapsed="false">
      <c r="A105" s="12" t="s">
        <v>671</v>
      </c>
      <c r="B105" s="13" t="s">
        <v>545</v>
      </c>
      <c r="C105" s="13" t="s">
        <v>672</v>
      </c>
      <c r="D105" s="13" t="s">
        <v>673</v>
      </c>
      <c r="E105" s="13" t="s">
        <v>674</v>
      </c>
      <c r="F105" s="13" t="s">
        <v>675</v>
      </c>
      <c r="G105" s="14" t="s">
        <v>676</v>
      </c>
      <c r="H105" s="15" t="s">
        <v>13</v>
      </c>
      <c r="I105" s="14"/>
      <c r="J105" s="14" t="s">
        <v>63</v>
      </c>
      <c r="K105" s="16" t="s">
        <v>64</v>
      </c>
    </row>
    <row r="106" customFormat="false" ht="30" hidden="false" customHeight="true" outlineLevel="0" collapsed="false">
      <c r="A106" s="12" t="s">
        <v>677</v>
      </c>
      <c r="B106" s="13" t="s">
        <v>545</v>
      </c>
      <c r="C106" s="13" t="s">
        <v>678</v>
      </c>
      <c r="D106" s="13" t="s">
        <v>679</v>
      </c>
      <c r="E106" s="13" t="s">
        <v>99</v>
      </c>
      <c r="F106" s="13" t="s">
        <v>680</v>
      </c>
      <c r="G106" s="14" t="s">
        <v>681</v>
      </c>
      <c r="H106" s="15" t="s">
        <v>13</v>
      </c>
      <c r="I106" s="14"/>
      <c r="J106" s="14" t="s">
        <v>63</v>
      </c>
      <c r="K106" s="16" t="s">
        <v>83</v>
      </c>
    </row>
    <row r="107" customFormat="false" ht="32.25" hidden="false" customHeight="true" outlineLevel="0" collapsed="false">
      <c r="A107" s="12" t="s">
        <v>682</v>
      </c>
      <c r="B107" s="13" t="s">
        <v>545</v>
      </c>
      <c r="C107" s="13" t="s">
        <v>683</v>
      </c>
      <c r="D107" s="13" t="s">
        <v>684</v>
      </c>
      <c r="E107" s="13" t="s">
        <v>99</v>
      </c>
      <c r="F107" s="13" t="s">
        <v>685</v>
      </c>
      <c r="G107" s="14" t="s">
        <v>686</v>
      </c>
      <c r="H107" s="15" t="s">
        <v>13</v>
      </c>
      <c r="I107" s="14"/>
      <c r="J107" s="14" t="s">
        <v>63</v>
      </c>
      <c r="K107" s="16" t="s">
        <v>64</v>
      </c>
    </row>
    <row r="108" customFormat="false" ht="45" hidden="false" customHeight="true" outlineLevel="0" collapsed="false">
      <c r="A108" s="12" t="s">
        <v>687</v>
      </c>
      <c r="B108" s="13" t="s">
        <v>545</v>
      </c>
      <c r="C108" s="13" t="s">
        <v>688</v>
      </c>
      <c r="D108" s="13" t="s">
        <v>689</v>
      </c>
      <c r="E108" s="13" t="s">
        <v>690</v>
      </c>
      <c r="F108" s="13" t="s">
        <v>691</v>
      </c>
      <c r="G108" s="14" t="s">
        <v>692</v>
      </c>
      <c r="H108" s="15" t="s">
        <v>13</v>
      </c>
      <c r="I108" s="14"/>
      <c r="J108" s="14" t="s">
        <v>63</v>
      </c>
      <c r="K108" s="16" t="s">
        <v>64</v>
      </c>
    </row>
    <row r="109" customFormat="false" ht="32.25" hidden="false" customHeight="true" outlineLevel="0" collapsed="false">
      <c r="A109" s="12" t="s">
        <v>693</v>
      </c>
      <c r="B109" s="13" t="s">
        <v>545</v>
      </c>
      <c r="C109" s="13" t="s">
        <v>694</v>
      </c>
      <c r="D109" s="13" t="s">
        <v>695</v>
      </c>
      <c r="E109" s="13" t="s">
        <v>696</v>
      </c>
      <c r="F109" s="13" t="s">
        <v>697</v>
      </c>
      <c r="G109" s="14" t="s">
        <v>698</v>
      </c>
      <c r="H109" s="15" t="s">
        <v>13</v>
      </c>
      <c r="I109" s="14"/>
      <c r="J109" s="14" t="s">
        <v>63</v>
      </c>
      <c r="K109" s="16" t="s">
        <v>64</v>
      </c>
    </row>
    <row r="110" customFormat="false" ht="45" hidden="false" customHeight="true" outlineLevel="0" collapsed="false">
      <c r="A110" s="12" t="s">
        <v>699</v>
      </c>
      <c r="B110" s="13" t="s">
        <v>700</v>
      </c>
      <c r="C110" s="13" t="s">
        <v>701</v>
      </c>
      <c r="D110" s="13" t="s">
        <v>702</v>
      </c>
      <c r="E110" s="13" t="s">
        <v>99</v>
      </c>
      <c r="F110" s="13" t="s">
        <v>703</v>
      </c>
      <c r="G110" s="14" t="s">
        <v>704</v>
      </c>
      <c r="H110" s="15" t="s">
        <v>13</v>
      </c>
      <c r="I110" s="14"/>
      <c r="J110" s="14" t="s">
        <v>63</v>
      </c>
      <c r="K110" s="16" t="s">
        <v>64</v>
      </c>
    </row>
    <row r="111" customFormat="false" ht="32.25" hidden="false" customHeight="true" outlineLevel="0" collapsed="false">
      <c r="A111" s="12" t="s">
        <v>705</v>
      </c>
      <c r="B111" s="13" t="s">
        <v>700</v>
      </c>
      <c r="C111" s="13" t="s">
        <v>706</v>
      </c>
      <c r="D111" s="13" t="s">
        <v>707</v>
      </c>
      <c r="E111" s="13" t="s">
        <v>99</v>
      </c>
      <c r="F111" s="13" t="s">
        <v>708</v>
      </c>
      <c r="G111" s="14" t="s">
        <v>709</v>
      </c>
      <c r="H111" s="15" t="s">
        <v>13</v>
      </c>
      <c r="I111" s="14"/>
      <c r="J111" s="14" t="s">
        <v>63</v>
      </c>
      <c r="K111" s="16" t="s">
        <v>83</v>
      </c>
    </row>
    <row r="112" customFormat="false" ht="32.25" hidden="false" customHeight="true" outlineLevel="0" collapsed="false">
      <c r="A112" s="12" t="s">
        <v>710</v>
      </c>
      <c r="B112" s="13" t="s">
        <v>700</v>
      </c>
      <c r="C112" s="13" t="s">
        <v>711</v>
      </c>
      <c r="D112" s="13" t="s">
        <v>712</v>
      </c>
      <c r="E112" s="13" t="s">
        <v>99</v>
      </c>
      <c r="F112" s="13" t="s">
        <v>713</v>
      </c>
      <c r="G112" s="14" t="s">
        <v>714</v>
      </c>
      <c r="H112" s="15" t="s">
        <v>13</v>
      </c>
      <c r="I112" s="14"/>
      <c r="J112" s="14" t="s">
        <v>63</v>
      </c>
      <c r="K112" s="16" t="s">
        <v>83</v>
      </c>
    </row>
    <row r="113" customFormat="false" ht="32.25" hidden="false" customHeight="true" outlineLevel="0" collapsed="false">
      <c r="A113" s="12" t="s">
        <v>715</v>
      </c>
      <c r="B113" s="13" t="s">
        <v>700</v>
      </c>
      <c r="C113" s="13" t="s">
        <v>716</v>
      </c>
      <c r="D113" s="13" t="s">
        <v>717</v>
      </c>
      <c r="E113" s="13" t="s">
        <v>99</v>
      </c>
      <c r="F113" s="13" t="s">
        <v>718</v>
      </c>
      <c r="G113" s="14" t="s">
        <v>719</v>
      </c>
      <c r="H113" s="15" t="s">
        <v>13</v>
      </c>
      <c r="I113" s="14"/>
      <c r="J113" s="14" t="s">
        <v>63</v>
      </c>
      <c r="K113" s="16" t="s">
        <v>83</v>
      </c>
    </row>
    <row r="114" customFormat="false" ht="45" hidden="false" customHeight="true" outlineLevel="0" collapsed="false">
      <c r="A114" s="12" t="s">
        <v>720</v>
      </c>
      <c r="B114" s="13" t="s">
        <v>700</v>
      </c>
      <c r="C114" s="13" t="s">
        <v>721</v>
      </c>
      <c r="D114" s="13" t="s">
        <v>722</v>
      </c>
      <c r="E114" s="13" t="s">
        <v>99</v>
      </c>
      <c r="F114" s="13" t="s">
        <v>723</v>
      </c>
      <c r="G114" s="14" t="s">
        <v>724</v>
      </c>
      <c r="H114" s="15" t="s">
        <v>13</v>
      </c>
      <c r="I114" s="14"/>
      <c r="J114" s="14" t="s">
        <v>63</v>
      </c>
      <c r="K114" s="16" t="s">
        <v>64</v>
      </c>
    </row>
    <row r="115" customFormat="false" ht="32.25" hidden="false" customHeight="true" outlineLevel="0" collapsed="false">
      <c r="A115" s="12" t="s">
        <v>725</v>
      </c>
      <c r="B115" s="13" t="s">
        <v>700</v>
      </c>
      <c r="C115" s="13" t="s">
        <v>726</v>
      </c>
      <c r="D115" s="13" t="s">
        <v>727</v>
      </c>
      <c r="E115" s="13" t="s">
        <v>99</v>
      </c>
      <c r="F115" s="13" t="s">
        <v>728</v>
      </c>
      <c r="G115" s="14" t="s">
        <v>729</v>
      </c>
      <c r="H115" s="18" t="s">
        <v>250</v>
      </c>
      <c r="I115" s="14"/>
      <c r="J115" s="14" t="s">
        <v>730</v>
      </c>
      <c r="K115" s="16" t="s">
        <v>64</v>
      </c>
    </row>
    <row r="116" customFormat="false" ht="45" hidden="false" customHeight="true" outlineLevel="0" collapsed="false">
      <c r="A116" s="12" t="s">
        <v>731</v>
      </c>
      <c r="B116" s="13" t="s">
        <v>700</v>
      </c>
      <c r="C116" s="13" t="s">
        <v>732</v>
      </c>
      <c r="D116" s="13" t="s">
        <v>733</v>
      </c>
      <c r="E116" s="13" t="s">
        <v>734</v>
      </c>
      <c r="F116" s="13" t="s">
        <v>735</v>
      </c>
      <c r="G116" s="14" t="s">
        <v>736</v>
      </c>
      <c r="H116" s="15" t="s">
        <v>13</v>
      </c>
      <c r="I116" s="14"/>
      <c r="J116" s="14" t="s">
        <v>63</v>
      </c>
      <c r="K116" s="16" t="s">
        <v>64</v>
      </c>
    </row>
    <row r="117" customFormat="false" ht="32.25" hidden="false" customHeight="true" outlineLevel="0" collapsed="false">
      <c r="A117" s="12" t="s">
        <v>737</v>
      </c>
      <c r="B117" s="13" t="s">
        <v>700</v>
      </c>
      <c r="C117" s="13" t="s">
        <v>738</v>
      </c>
      <c r="D117" s="13" t="s">
        <v>739</v>
      </c>
      <c r="E117" s="13" t="s">
        <v>740</v>
      </c>
      <c r="F117" s="13" t="s">
        <v>741</v>
      </c>
      <c r="G117" s="14" t="s">
        <v>742</v>
      </c>
      <c r="H117" s="15" t="s">
        <v>13</v>
      </c>
      <c r="I117" s="14"/>
      <c r="J117" s="14" t="s">
        <v>63</v>
      </c>
      <c r="K117" s="16" t="s">
        <v>64</v>
      </c>
    </row>
    <row r="118" customFormat="false" ht="32.25" hidden="false" customHeight="true" outlineLevel="0" collapsed="false">
      <c r="A118" s="12" t="s">
        <v>743</v>
      </c>
      <c r="B118" s="13" t="s">
        <v>700</v>
      </c>
      <c r="C118" s="13" t="s">
        <v>744</v>
      </c>
      <c r="D118" s="13" t="s">
        <v>745</v>
      </c>
      <c r="E118" s="13" t="s">
        <v>746</v>
      </c>
      <c r="F118" s="13" t="s">
        <v>747</v>
      </c>
      <c r="G118" s="14" t="s">
        <v>748</v>
      </c>
      <c r="H118" s="15" t="s">
        <v>13</v>
      </c>
      <c r="I118" s="14"/>
      <c r="J118" s="14" t="s">
        <v>63</v>
      </c>
      <c r="K118" s="16" t="s">
        <v>64</v>
      </c>
    </row>
    <row r="119" customFormat="false" ht="32.25" hidden="false" customHeight="true" outlineLevel="0" collapsed="false">
      <c r="A119" s="12" t="s">
        <v>749</v>
      </c>
      <c r="B119" s="13" t="s">
        <v>700</v>
      </c>
      <c r="C119" s="13" t="s">
        <v>750</v>
      </c>
      <c r="D119" s="13" t="s">
        <v>751</v>
      </c>
      <c r="E119" s="13" t="s">
        <v>752</v>
      </c>
      <c r="F119" s="13" t="s">
        <v>753</v>
      </c>
      <c r="G119" s="14" t="s">
        <v>754</v>
      </c>
      <c r="H119" s="15" t="s">
        <v>13</v>
      </c>
      <c r="I119" s="14"/>
      <c r="J119" s="14" t="s">
        <v>63</v>
      </c>
      <c r="K119" s="16" t="s">
        <v>83</v>
      </c>
    </row>
  </sheetData>
  <autoFilter ref="A4:K119"/>
  <conditionalFormatting sqref="H5:H119">
    <cfRule type="cellIs" priority="2" operator="equal" aboveAverage="0" equalAverage="0" bottom="0" percent="0" rank="0" text="" dxfId="10">
      <formula>"Pass"</formula>
    </cfRule>
    <cfRule type="cellIs" priority="3" operator="equal" aboveAverage="0" equalAverage="0" bottom="0" percent="0" rank="0" text="" dxfId="11">
      <formula>"Fail"</formula>
    </cfRule>
  </conditionalFormatting>
  <dataValidations count="1">
    <dataValidation allowBlank="false" error="Chọn Pass, Fail hoặc Chưa test." errorStyle="stop" errorTitle="Giá trị không hợp lệ" operator="between" showDropDown="false" showErrorMessage="true" showInputMessage="false" sqref="H5:H119" type="list">
      <formula1>"Pass,Fail,Chưa test"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1"/>
    <col collapsed="false" customWidth="true" hidden="false" outlineLevel="0" max="4" min="3" style="1" width="9"/>
    <col collapsed="false" customWidth="true" hidden="false" outlineLevel="0" max="5" min="5" style="1" width="11"/>
    <col collapsed="false" customWidth="true" hidden="false" outlineLevel="0" max="6" min="6" style="1" width="13"/>
    <col collapsed="false" customWidth="true" hidden="false" outlineLevel="0" max="7" min="7" style="1" width="14"/>
  </cols>
  <sheetData>
    <row r="1" customFormat="false" ht="17.25" hidden="false" customHeight="true" outlineLevel="0" collapsed="false">
      <c r="A1" s="2" t="s">
        <v>755</v>
      </c>
    </row>
    <row r="2" customFormat="false" ht="15" hidden="false" customHeight="true" outlineLevel="0" collapsed="false">
      <c r="A2" s="10" t="s">
        <v>756</v>
      </c>
    </row>
    <row r="4" customFormat="false" ht="27.75" hidden="false" customHeight="true" outlineLevel="0" collapsed="false">
      <c r="A4" s="11" t="s">
        <v>47</v>
      </c>
      <c r="B4" s="11" t="s">
        <v>757</v>
      </c>
      <c r="C4" s="11" t="s">
        <v>13</v>
      </c>
      <c r="D4" s="11" t="s">
        <v>155</v>
      </c>
      <c r="E4" s="11" t="s">
        <v>250</v>
      </c>
      <c r="F4" s="11" t="s">
        <v>758</v>
      </c>
      <c r="G4" s="11" t="s">
        <v>759</v>
      </c>
    </row>
    <row r="5" customFormat="false" ht="15" hidden="false" customHeight="true" outlineLevel="0" collapsed="false">
      <c r="A5" s="19" t="s">
        <v>58</v>
      </c>
      <c r="B5" s="20" t="n">
        <f aca="false">COUNTIF('Test case'!$B$5:$B$119,A5)</f>
        <v>17</v>
      </c>
      <c r="C5" s="20" t="n">
        <f aca="false">COUNTIFS('Test case'!$B$5:$B$119,A5,'Test case'!$H$5:$H$119,"Pass")</f>
        <v>16</v>
      </c>
      <c r="D5" s="20" t="n">
        <f aca="false">COUNTIFS('Test case'!$B$5:$B$119,A5,'Test case'!$H$5:$H$119,"Fail")</f>
        <v>1</v>
      </c>
      <c r="E5" s="20" t="n">
        <f aca="false">COUNTIFS('Test case'!$B$5:$B$119,A5,'Test case'!$H$5:$H$119,"Chưa test")</f>
        <v>0</v>
      </c>
      <c r="F5" s="21" t="n">
        <f aca="false">IF(B5=0,0,C5/B5)</f>
        <v>0.941176470588235</v>
      </c>
      <c r="G5" s="21" t="n">
        <f aca="false">IF(B5=0,0,(C5+D5)/B5)</f>
        <v>1</v>
      </c>
    </row>
    <row r="6" customFormat="false" ht="15" hidden="false" customHeight="true" outlineLevel="0" collapsed="false">
      <c r="A6" s="19" t="s">
        <v>164</v>
      </c>
      <c r="B6" s="20" t="n">
        <f aca="false">COUNTIF('Test case'!$B$5:$B$119,A6)</f>
        <v>15</v>
      </c>
      <c r="C6" s="20" t="n">
        <f aca="false">COUNTIFS('Test case'!$B$5:$B$119,A6,'Test case'!$H$5:$H$119,"Pass")</f>
        <v>14</v>
      </c>
      <c r="D6" s="20" t="n">
        <f aca="false">COUNTIFS('Test case'!$B$5:$B$119,A6,'Test case'!$H$5:$H$119,"Fail")</f>
        <v>0</v>
      </c>
      <c r="E6" s="20" t="n">
        <f aca="false">COUNTIFS('Test case'!$B$5:$B$119,A6,'Test case'!$H$5:$H$119,"Chưa test")</f>
        <v>1</v>
      </c>
      <c r="F6" s="21" t="n">
        <f aca="false">IF(B6=0,0,C6/B6)</f>
        <v>0.933333333333333</v>
      </c>
      <c r="G6" s="21" t="n">
        <f aca="false">IF(B6=0,0,(C6+D6)/B6)</f>
        <v>0.933333333333333</v>
      </c>
    </row>
    <row r="7" customFormat="false" ht="15" hidden="false" customHeight="true" outlineLevel="0" collapsed="false">
      <c r="A7" s="19" t="s">
        <v>259</v>
      </c>
      <c r="B7" s="20" t="n">
        <f aca="false">COUNTIF('Test case'!$B$5:$B$119,A7)</f>
        <v>12</v>
      </c>
      <c r="C7" s="20" t="n">
        <f aca="false">COUNTIFS('Test case'!$B$5:$B$119,A7,'Test case'!$H$5:$H$119,"Pass")</f>
        <v>11</v>
      </c>
      <c r="D7" s="20" t="n">
        <f aca="false">COUNTIFS('Test case'!$B$5:$B$119,A7,'Test case'!$H$5:$H$119,"Fail")</f>
        <v>0</v>
      </c>
      <c r="E7" s="20" t="n">
        <f aca="false">COUNTIFS('Test case'!$B$5:$B$119,A7,'Test case'!$H$5:$H$119,"Chưa test")</f>
        <v>1</v>
      </c>
      <c r="F7" s="21" t="n">
        <f aca="false">IF(B7=0,0,C7/B7)</f>
        <v>0.916666666666667</v>
      </c>
      <c r="G7" s="21" t="n">
        <f aca="false">IF(B7=0,0,(C7+D7)/B7)</f>
        <v>0.916666666666667</v>
      </c>
    </row>
    <row r="8" customFormat="false" ht="15" hidden="false" customHeight="true" outlineLevel="0" collapsed="false">
      <c r="A8" s="19" t="s">
        <v>332</v>
      </c>
      <c r="B8" s="20" t="n">
        <f aca="false">COUNTIF('Test case'!$B$5:$B$119,A8)</f>
        <v>22</v>
      </c>
      <c r="C8" s="20" t="n">
        <f aca="false">COUNTIFS('Test case'!$B$5:$B$119,A8,'Test case'!$H$5:$H$119,"Pass")</f>
        <v>21</v>
      </c>
      <c r="D8" s="20" t="n">
        <f aca="false">COUNTIFS('Test case'!$B$5:$B$119,A8,'Test case'!$H$5:$H$119,"Fail")</f>
        <v>0</v>
      </c>
      <c r="E8" s="20" t="n">
        <f aca="false">COUNTIFS('Test case'!$B$5:$B$119,A8,'Test case'!$H$5:$H$119,"Chưa test")</f>
        <v>1</v>
      </c>
      <c r="F8" s="21" t="n">
        <f aca="false">IF(B8=0,0,C8/B8)</f>
        <v>0.954545454545455</v>
      </c>
      <c r="G8" s="21" t="n">
        <f aca="false">IF(B8=0,0,(C8+D8)/B8)</f>
        <v>0.954545454545455</v>
      </c>
    </row>
    <row r="9" customFormat="false" ht="15" hidden="false" customHeight="true" outlineLevel="0" collapsed="false">
      <c r="A9" s="19" t="s">
        <v>467</v>
      </c>
      <c r="B9" s="20" t="n">
        <f aca="false">COUNTIF('Test case'!$B$5:$B$119,A9)</f>
        <v>13</v>
      </c>
      <c r="C9" s="20" t="n">
        <f aca="false">COUNTIFS('Test case'!$B$5:$B$119,A9,'Test case'!$H$5:$H$119,"Pass")</f>
        <v>13</v>
      </c>
      <c r="D9" s="20" t="n">
        <f aca="false">COUNTIFS('Test case'!$B$5:$B$119,A9,'Test case'!$H$5:$H$119,"Fail")</f>
        <v>0</v>
      </c>
      <c r="E9" s="20" t="n">
        <f aca="false">COUNTIFS('Test case'!$B$5:$B$119,A9,'Test case'!$H$5:$H$119,"Chưa test")</f>
        <v>0</v>
      </c>
      <c r="F9" s="21" t="n">
        <f aca="false">IF(B9=0,0,C9/B9)</f>
        <v>1</v>
      </c>
      <c r="G9" s="21" t="n">
        <f aca="false">IF(B9=0,0,(C9+D9)/B9)</f>
        <v>1</v>
      </c>
    </row>
    <row r="10" customFormat="false" ht="15" hidden="false" customHeight="true" outlineLevel="0" collapsed="false">
      <c r="A10" s="19" t="s">
        <v>545</v>
      </c>
      <c r="B10" s="20" t="n">
        <f aca="false">COUNTIF('Test case'!$B$5:$B$119,A10)</f>
        <v>26</v>
      </c>
      <c r="C10" s="20" t="n">
        <f aca="false">COUNTIFS('Test case'!$B$5:$B$119,A10,'Test case'!$H$5:$H$119,"Pass")</f>
        <v>23</v>
      </c>
      <c r="D10" s="20" t="n">
        <f aca="false">COUNTIFS('Test case'!$B$5:$B$119,A10,'Test case'!$H$5:$H$119,"Fail")</f>
        <v>0</v>
      </c>
      <c r="E10" s="20" t="n">
        <f aca="false">COUNTIFS('Test case'!$B$5:$B$119,A10,'Test case'!$H$5:$H$119,"Chưa test")</f>
        <v>3</v>
      </c>
      <c r="F10" s="21" t="n">
        <f aca="false">IF(B10=0,0,C10/B10)</f>
        <v>0.884615384615385</v>
      </c>
      <c r="G10" s="21" t="n">
        <f aca="false">IF(B10=0,0,(C10+D10)/B10)</f>
        <v>0.884615384615385</v>
      </c>
    </row>
    <row r="11" customFormat="false" ht="15" hidden="false" customHeight="true" outlineLevel="0" collapsed="false">
      <c r="A11" s="19" t="s">
        <v>700</v>
      </c>
      <c r="B11" s="20" t="n">
        <f aca="false">COUNTIF('Test case'!$B$5:$B$119,A11)</f>
        <v>10</v>
      </c>
      <c r="C11" s="20" t="n">
        <f aca="false">COUNTIFS('Test case'!$B$5:$B$119,A11,'Test case'!$H$5:$H$119,"Pass")</f>
        <v>9</v>
      </c>
      <c r="D11" s="20" t="n">
        <f aca="false">COUNTIFS('Test case'!$B$5:$B$119,A11,'Test case'!$H$5:$H$119,"Fail")</f>
        <v>0</v>
      </c>
      <c r="E11" s="20" t="n">
        <f aca="false">COUNTIFS('Test case'!$B$5:$B$119,A11,'Test case'!$H$5:$H$119,"Chưa test")</f>
        <v>1</v>
      </c>
      <c r="F11" s="21" t="n">
        <f aca="false">IF(B11=0,0,C11/B11)</f>
        <v>0.9</v>
      </c>
      <c r="G11" s="21" t="n">
        <f aca="false">IF(B11=0,0,(C11+D11)/B11)</f>
        <v>0.9</v>
      </c>
    </row>
    <row r="12" customFormat="false" ht="15" hidden="false" customHeight="true" outlineLevel="0" collapsed="false">
      <c r="A12" s="22" t="s">
        <v>760</v>
      </c>
      <c r="B12" s="23" t="n">
        <f aca="false">SUM(B5:B11)</f>
        <v>115</v>
      </c>
      <c r="C12" s="23" t="n">
        <f aca="false">SUM(C5:C11)</f>
        <v>107</v>
      </c>
      <c r="D12" s="23" t="n">
        <f aca="false">SUM(D5:D11)</f>
        <v>1</v>
      </c>
      <c r="E12" s="23" t="n">
        <f aca="false">SUM(E5:E11)</f>
        <v>7</v>
      </c>
      <c r="F12" s="24" t="n">
        <f aca="false">IF(B12=0,0,C12/B12)</f>
        <v>0.930434782608696</v>
      </c>
      <c r="G12" s="24" t="n">
        <f aca="false">IF(B12=0,0,(C12+D12)/B12)</f>
        <v>0.939130434782609</v>
      </c>
    </row>
    <row r="14" customFormat="false" ht="15" hidden="false" customHeight="true" outlineLevel="0" collapsed="false">
      <c r="A14" s="25" t="s">
        <v>761</v>
      </c>
      <c r="B14" s="26" t="n">
        <f aca="false">COUNTIF('Test case'!$K$5:$K$119,"Cao")</f>
        <v>73</v>
      </c>
    </row>
    <row r="15" customFormat="false" ht="15" hidden="false" customHeight="true" outlineLevel="0" collapsed="false">
      <c r="A15" s="25" t="s">
        <v>762</v>
      </c>
      <c r="B15" s="26" t="n">
        <f aca="false">COUNTIFS('Test case'!$K$5:$K$119,"Cao",'Test case'!$H$5:$H$119,"Pass")</f>
        <v>71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2026-10-19T10:24:29Z</dcterms:created>
  <dc:creator>openpyxl</dc:creator>
  <dc:description/>
  <dc:language>en-US</dc:language>
  <cp:lastModifiedBy/>
  <dcterms:modified xsi:type="dcterms:W3CDTF">2026-10-19T16:35:18Z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